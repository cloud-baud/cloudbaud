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ce6bd2de5d426f/Personal/Taxes/"/>
    </mc:Choice>
  </mc:AlternateContent>
  <xr:revisionPtr revIDLastSave="0" documentId="13_ncr:40009_{25511C34-FE25-4881-BC22-566B9F654E55}" xr6:coauthVersionLast="41" xr6:coauthVersionMax="41" xr10:uidLastSave="{00000000-0000-0000-0000-000000000000}"/>
  <bookViews>
    <workbookView xWindow="-98" yWindow="-98" windowWidth="28996" windowHeight="15796" activeTab="6"/>
  </bookViews>
  <sheets>
    <sheet name="July" sheetId="1" r:id="rId1"/>
    <sheet name="June" sheetId="2" r:id="rId2"/>
    <sheet name="May" sheetId="3" r:id="rId3"/>
    <sheet name="April" sheetId="4" r:id="rId4"/>
    <sheet name="March" sheetId="5" r:id="rId5"/>
    <sheet name="Feb" sheetId="6" r:id="rId6"/>
    <sheet name="Jan" sheetId="7" r:id="rId7"/>
  </sheets>
  <calcPr calcId="0"/>
</workbook>
</file>

<file path=xl/calcChain.xml><?xml version="1.0" encoding="utf-8"?>
<calcChain xmlns="http://schemas.openxmlformats.org/spreadsheetml/2006/main">
  <c r="J22" i="2" l="1"/>
  <c r="J19" i="2"/>
  <c r="J16" i="2"/>
  <c r="J14" i="2"/>
  <c r="J9" i="2"/>
  <c r="J8" i="2"/>
  <c r="J2" i="2"/>
  <c r="H28" i="2"/>
  <c r="H169" i="7"/>
  <c r="H169" i="6"/>
  <c r="H169" i="5"/>
  <c r="H169" i="4"/>
  <c r="J57" i="1"/>
  <c r="J56" i="1"/>
  <c r="J51" i="1"/>
  <c r="J50" i="1"/>
  <c r="J46" i="1"/>
  <c r="J39" i="1"/>
  <c r="J35" i="1"/>
  <c r="J34" i="1"/>
  <c r="J28" i="1"/>
  <c r="J16" i="1"/>
  <c r="J13" i="1"/>
  <c r="J2" i="1"/>
  <c r="J1" i="2" l="1"/>
  <c r="J1" i="1"/>
</calcChain>
</file>

<file path=xl/sharedStrings.xml><?xml version="1.0" encoding="utf-8"?>
<sst xmlns="http://schemas.openxmlformats.org/spreadsheetml/2006/main" count="2430" uniqueCount="262">
  <si>
    <t>Symbol(CUSIP)</t>
  </si>
  <si>
    <t>Security Description</t>
  </si>
  <si>
    <t>Quantity</t>
  </si>
  <si>
    <t>Date Acquired</t>
  </si>
  <si>
    <t>Date Sold</t>
  </si>
  <si>
    <t>Proceeds</t>
  </si>
  <si>
    <t>Cost Basis</t>
  </si>
  <si>
    <t>Short Term Gain/Loss</t>
  </si>
  <si>
    <t>Long Term Gain/Loss</t>
  </si>
  <si>
    <t>AAPL(037833100)</t>
  </si>
  <si>
    <t>APPLE INC COM USD0.00001</t>
  </si>
  <si>
    <t>-</t>
  </si>
  <si>
    <t>ACB(05156X108)</t>
  </si>
  <si>
    <t>AURORA CANNABIS INC COM NPV ISIN #CA05156X1087 SEDOL #BTGWJY9</t>
  </si>
  <si>
    <t>ACB190118C8(3955449KG)</t>
  </si>
  <si>
    <t>CALL (ACB) AURORA CANNABIS INC JAN 18 19 $8 (100 SHS)</t>
  </si>
  <si>
    <t>ACB190215C10(4004879RP)</t>
  </si>
  <si>
    <t>CALL (ACB) AURORA CANNABIS INC FEB 15 19 $10 (100 SHS)</t>
  </si>
  <si>
    <t>ACB190215C7(4004879HF)</t>
  </si>
  <si>
    <t>CALL (ACB) AURORA CANNABIS INC FEB 15 19 $7 (100 SHS)</t>
  </si>
  <si>
    <t>ACB190215P9(4004879NL)</t>
  </si>
  <si>
    <t>PUT (ACB) AURORA CANNABIS INC FEB 15 19 $9 (100 SHS)</t>
  </si>
  <si>
    <t>AMRN190719C18(4172879KI)</t>
  </si>
  <si>
    <t>CALL (AMRN) AMARIN CORP ADR EACHJUL 19 19 $18 (100 SHS)</t>
  </si>
  <si>
    <t>ARQL190719C10(4134569QM)</t>
  </si>
  <si>
    <t>CALL (ARQL) ARQULE INC COM JUL 19 19 $10 (100 SHS)</t>
  </si>
  <si>
    <t>ARQL190719C5(3955999EE)</t>
  </si>
  <si>
    <t>CALL (ARQL) ARQULE INC COM JUL 19 19 $5 (100 SHS)</t>
  </si>
  <si>
    <t>ARQL191018P10(4134569TP)</t>
  </si>
  <si>
    <t>PUT (ARQL) ARQULE INC COM OCT 18 19 $10 (100 SHS)</t>
  </si>
  <si>
    <t>BPR190215C17.5(3865459NL)</t>
  </si>
  <si>
    <t>CALL (BPR) BROOKFIELD PROPERTY FEB 15 19 $17.5 (100 SHS)</t>
  </si>
  <si>
    <t>BPR190215P17.5(3865459OM)</t>
  </si>
  <si>
    <t>PUT (BPR) BROOKFIELD PROPERTY FEB 15 19 $17.5 (100 SHS)</t>
  </si>
  <si>
    <t>BYND190621C155(4221499XT)</t>
  </si>
  <si>
    <t>CALL (BYND) BEYOND MEAT INC COM JUN 21 19 $155 (100 SHS)</t>
  </si>
  <si>
    <t>BYND190621C170(4229009VP)</t>
  </si>
  <si>
    <t>CALL (BYND) BEYOND MEAT INC COM JUN 21 19 $170 (100 SHS)</t>
  </si>
  <si>
    <t>BYND190621C180(4229009RL)</t>
  </si>
  <si>
    <t>CALL (BYND) BEYOND MEAT INC COM JUN 21 19 $180 (100 SHS)</t>
  </si>
  <si>
    <t>BYND190621C187.5(4230409PN)</t>
  </si>
  <si>
    <t>CALL (BYND) BEYOND MEAT INC COM JUN 21 19 $187.5 (100 SHS)</t>
  </si>
  <si>
    <t>BYND190712C165(4229019EE)</t>
  </si>
  <si>
    <t>CALL (BYND) BEYOND MEAT INC COM JUL 12 19 $165 (100 SHS)</t>
  </si>
  <si>
    <t>BYND190712C195(4230199HD)</t>
  </si>
  <si>
    <t>CALL (BYND) BEYOND MEAT INC COM JUL 12 19 $195 (100 SHS)</t>
  </si>
  <si>
    <t>BYND190726C200(4230199VP)</t>
  </si>
  <si>
    <t>CALL (BYND) BEYOND MEAT INC COM JUL 26 19 $200 (100 SHS)</t>
  </si>
  <si>
    <t>BYND190726C205(4230199XR)</t>
  </si>
  <si>
    <t>CALL (BYND) BEYOND MEAT INC COM JUL 26 19 $205 (100 SHS)</t>
  </si>
  <si>
    <t>BYND190726C210(4230199BT)</t>
  </si>
  <si>
    <t>CALL (BYND) BEYOND MEAT INC COM JUL 26 19 $210 (100 SHS)</t>
  </si>
  <si>
    <t>BYND190726C220(4230209BB)</t>
  </si>
  <si>
    <t>CALL (BYND) BEYOND MEAT INC COM JUL 26 19 $220 (100 SHS)</t>
  </si>
  <si>
    <t>BYND190726C235(4230209HH)</t>
  </si>
  <si>
    <t>CALL (BYND) BEYOND MEAT INC COM JUL 26 19 $235 (100 SHS)</t>
  </si>
  <si>
    <t>CRM190517C160(3876639KE)</t>
  </si>
  <si>
    <t>CALL (CRM) SALESFORCE COM INC MAY 17 19 $160 (100 SHS)</t>
  </si>
  <si>
    <t>CRON190418C12.5(3830139BV)</t>
  </si>
  <si>
    <t>CALL (CRON) CRONOS GROUP INC COMAPR 18 19 $12.5 (100 SHS)</t>
  </si>
  <si>
    <t>CRON190418C14(3846789KK)</t>
  </si>
  <si>
    <t>CALL (CRON) CRONOS GROUP INC COMAPR 18 19 $14 (100 SHS)</t>
  </si>
  <si>
    <t>DIS190418C113(4120429CU)</t>
  </si>
  <si>
    <t>CALL (DIS) DISNEY WALT CO APR 18 19 $113 (100 SHS)</t>
  </si>
  <si>
    <t>DIS190418C117(4120439EE)</t>
  </si>
  <si>
    <t>CALL (DIS) DISNEY WALT CO APR 18 19 $117 (100 SHS)</t>
  </si>
  <si>
    <t>DUST(25490K133)</t>
  </si>
  <si>
    <t>DIREXION SHS ETF TR DAILY GOLD MINER</t>
  </si>
  <si>
    <t>DUST190315C20.5(4083079PL)</t>
  </si>
  <si>
    <t>CALL (DUST) DIREXION SHS ETF TR MAR 15 19 $20.5 (100 SHS)</t>
  </si>
  <si>
    <t>DUST190621C17(3917179HB)</t>
  </si>
  <si>
    <t>CALL (DUST) DIREXION SHS ETF TR JUN 21 19 $17 (100 SHS)</t>
  </si>
  <si>
    <t>DUST190920P20(3872809OO)</t>
  </si>
  <si>
    <t>PUT (DUST) DIREXION SHS ETF TR SEP 20 19 $20 (100 SHS)</t>
  </si>
  <si>
    <t>DVN190531C33.5(4152529OO)</t>
  </si>
  <si>
    <t>CALL (DVN) DEVON ENERGY CORP MAY 31 19 $33.5 (100 SHS)</t>
  </si>
  <si>
    <t>DVN190531C37.5(4152529GE)</t>
  </si>
  <si>
    <t>CALL (DVN) DEVON ENERGY CORP MAY 31 19 $37.5 (100 SHS)</t>
  </si>
  <si>
    <t>DXCM190315C145(3793229GA)</t>
  </si>
  <si>
    <t>CALL (DXCM) DEXCOM INC MAR 15 19 $145 (100 SHS)</t>
  </si>
  <si>
    <t>DXCM190315P160(3819109IG)</t>
  </si>
  <si>
    <t>PUT (DXCM) DEXCOM INC MAR 15 19 $160 (100 SHS)</t>
  </si>
  <si>
    <t>DXCM190315P170(3819109FD)</t>
  </si>
  <si>
    <t>PUT (DXCM) DEXCOM INC MAR 15 19 $170 (100 SHS)</t>
  </si>
  <si>
    <t>EQT190816C16(4243169QK)</t>
  </si>
  <si>
    <t>CALL (EQT) EQT CORPORATION COM AUG 16 19 $16 (100 SHS)</t>
  </si>
  <si>
    <t>FB190426P180(4110689XT)</t>
  </si>
  <si>
    <t>PUT (FB) FACEBOOK INC-CLASS AAPR 26 19 $180 (100 SHS)</t>
  </si>
  <si>
    <t>FCX191115C12(4121349MI)</t>
  </si>
  <si>
    <t>CALL (FCX) FREEPORT-MCMORAN INCNOV 15 19 $12 (100 SHS)</t>
  </si>
  <si>
    <t>FIS190719C105(3958829IC)</t>
  </si>
  <si>
    <t>CALL (FIS) FIDELITY NATIONAL JUL 19 19 $105 (100 SHS)</t>
  </si>
  <si>
    <t>FIS190719C125(3958829KG)</t>
  </si>
  <si>
    <t>CALL (FIS) FIDELITY NATL JUL 19 19 $125 (100 SHS)</t>
  </si>
  <si>
    <t>GERN190315C7(3794559QO)</t>
  </si>
  <si>
    <t>CALL (GERN) GERON CORP MAR 15 19 $7 (100 SHS)</t>
  </si>
  <si>
    <t>GOOGL(02079K305)</t>
  </si>
  <si>
    <t>ALPHABET INC CAP STKCL A</t>
  </si>
  <si>
    <t>GOOGL190301C1165(4035979JJ)</t>
  </si>
  <si>
    <t>CALL (GOOGL) ALPHABET INC CAP STKMAR 01 19 $1165 (100 SHS)</t>
  </si>
  <si>
    <t>GOOGL190308C1150(4057879PL)</t>
  </si>
  <si>
    <t>CALL (GOOGL) ALPHABET INC CAP STKMAR 08 19 $1150 (100 SHS)</t>
  </si>
  <si>
    <t>GOOGL190315C1135(3794799GG)</t>
  </si>
  <si>
    <t>CALL (GOOGL) ALPHABET INC CAP STKMAR 15 19 $1135 (100 SHS)</t>
  </si>
  <si>
    <t>GOOGL190315C1160(3794809VP)</t>
  </si>
  <si>
    <t>CALL (GOOGL) ALPHABET INC CAP STKMAR 15 19 $1160 (100 SHS)</t>
  </si>
  <si>
    <t>GOOGL190315C1300(3794789QM)</t>
  </si>
  <si>
    <t>CALL (GOOGL) ALPHABET INC CAP STKMAR 15 19 $1300 (100 SHS)</t>
  </si>
  <si>
    <t>GOOGL190418C1200(4055989DZ)</t>
  </si>
  <si>
    <t>CALL (GOOGL) ALPHABET INC CAP STKAPR 18 19 $1200 (100 SHS)</t>
  </si>
  <si>
    <t>GOOGL190418C1360(4067859DZ)</t>
  </si>
  <si>
    <t>CALL (GOOGL) ALPHABET INC CAP STKAPR 18 19 $1360 (100 SHS)</t>
  </si>
  <si>
    <t>HUM190531C235(4153129SM)</t>
  </si>
  <si>
    <t>CALL (HUM) HUMANA INC MAY 31 19 $235 (100 SHS)</t>
  </si>
  <si>
    <t>HUM190531C242.5(4153129MG)</t>
  </si>
  <si>
    <t>CALL (HUM) HUMANA INC MAY 31 19 $242.5 (100 SHS)</t>
  </si>
  <si>
    <t>IQ190118C30(3708239TR)</t>
  </si>
  <si>
    <t>CALL (IQ) IQIYI INC SPON EACH JAN 18 19 $30 (100 SHS)</t>
  </si>
  <si>
    <t>JNPR190426C30(4111319VT)</t>
  </si>
  <si>
    <t>CALL (JNPR) JUNIPER NETWORKS COMAPR 26 19 $30 (100 SHS)</t>
  </si>
  <si>
    <t>JNPR190524C28.5(4146779XR)</t>
  </si>
  <si>
    <t>CALL (JNPR) JUNIPER NETWORKS COMMAY 24 19 $28.5 (100 SHS)</t>
  </si>
  <si>
    <t>JNUG(25460E851)</t>
  </si>
  <si>
    <t>DIREXION SHS ETF TR DAILY JR BULL 3X 1 FOR 5 R/S INTO DIREXION SHS ETF TR DAILY JR GOLD MINERSINDEX BULL 3X SHS</t>
  </si>
  <si>
    <t>JNUG190517C8(4085969KE)</t>
  </si>
  <si>
    <t>CALL (JNUG) DIREXION SHS ETF TR MAY 17 19 $8 (100 SHS)</t>
  </si>
  <si>
    <t>JNUG190524C8(4146789PJ)</t>
  </si>
  <si>
    <t>CALL (JNUG) DIREXION SHS ETF TR MAY 24 19 $8 (100 SHS)</t>
  </si>
  <si>
    <t>JNUG190607C9(4176589KI)</t>
  </si>
  <si>
    <t>CALL (JNUG) DIREXION SHS ETF TR JUN 07 19 $9 (100 SHS)</t>
  </si>
  <si>
    <t>KMI190621P22(3920069KK)</t>
  </si>
  <si>
    <t>PUT (KMI) KINDER MORGAN INC JUN 21 19 $22 (100 SHS)</t>
  </si>
  <si>
    <t>KMI190712C22(4219339RL)</t>
  </si>
  <si>
    <t>CALL (KMI) KINDER MORGAN INC JUL 12 19 $22 (100 SHS)</t>
  </si>
  <si>
    <t>KMI190920C21(4048569WU)</t>
  </si>
  <si>
    <t>CALL (KMI) KINDER MORGAN INC SEP 20 19 $21 (100 SHS)</t>
  </si>
  <si>
    <t>KWEB190621C44(4166049DX)</t>
  </si>
  <si>
    <t>CALL (KWEB) KRANESHARES TR CSI JUN 21 19 $44 (100 SHS)</t>
  </si>
  <si>
    <t>KWEB190719C45(4202999NH)</t>
  </si>
  <si>
    <t>CALL (KWEB) KRANESHARES TR CSI JUL 19 19 $45 (100 SHS)</t>
  </si>
  <si>
    <t>LAZ(G54050102)</t>
  </si>
  <si>
    <t>LAZARD LTD SHS A</t>
  </si>
  <si>
    <t>MMP(559080106)</t>
  </si>
  <si>
    <t>MAGELLAN MIDSTREAM PRTNRS LP COM UNIT RP LP</t>
  </si>
  <si>
    <t>MRVL190412C20.5(4104169SS)</t>
  </si>
  <si>
    <t>CALL (MRVL) MARVELL TECH GROUP APR 12 19 $20.5 (100 SHS)</t>
  </si>
  <si>
    <t>NBEV(64157V108)</t>
  </si>
  <si>
    <t>NEW AGE BEVERAGES CORP COM</t>
  </si>
  <si>
    <t>NBEV190222P7(4028729GE)</t>
  </si>
  <si>
    <t>PUT (NBEV) NEW AGE BEVERAGES FEB 22 19 $7 (100 SHS)</t>
  </si>
  <si>
    <t>NBEV190315C15(3873819KI)</t>
  </si>
  <si>
    <t>CALL (NBEV) NEW AGE BEVERAGES MAR 15 19 $15 (100 SHS)</t>
  </si>
  <si>
    <t>NBEV190418C6(4049739SQ)</t>
  </si>
  <si>
    <t>CALL (NBEV) NEW AGE BEVERAGES APR 18 19 $6 (100 SHS)</t>
  </si>
  <si>
    <t>NBEV190418C9(4049739EC)</t>
  </si>
  <si>
    <t>CALL (NBEV) NEW AGE BEVERAGES APR 18 19 $9 (100 SHS)</t>
  </si>
  <si>
    <t>NBEV190418P7(4049739MK)</t>
  </si>
  <si>
    <t>PUT (NBEV) NEW AGE BEVERAGES APR 18 19 $7 (100 SHS)</t>
  </si>
  <si>
    <t>NBEV190621P6(3921169HF)</t>
  </si>
  <si>
    <t>PUT (NBEV) NEW AGE BEVERAGES JUN 21 19 $6 (100 SHS)</t>
  </si>
  <si>
    <t>NEP(65341B106)</t>
  </si>
  <si>
    <t>NEXTERA ENERGY PARTNERS LP COM UNITPART IN</t>
  </si>
  <si>
    <t>NFLX190125C360(3989619XR)</t>
  </si>
  <si>
    <t>CALL (NFLX) NETFLIX COM INC COM JAN 25 19 $360 (100 SHS)</t>
  </si>
  <si>
    <t>NFLX190125C390(3989629TT)</t>
  </si>
  <si>
    <t>CALL (NFLX) NETFLIX COM INC COM JAN 25 19 $390 (100 SHS)</t>
  </si>
  <si>
    <t>PCG(69331C108)</t>
  </si>
  <si>
    <t>PG&amp;E CORP COM NPV</t>
  </si>
  <si>
    <t>PCG190201P8.5(4042199PJ)</t>
  </si>
  <si>
    <t>PUT (PCG) PG &amp; E CORP FEB 01 19 $8.5 (100 SHS)</t>
  </si>
  <si>
    <t>PCG190222C16(4037199WQ)</t>
  </si>
  <si>
    <t>CALL (PCG) PG &amp; E CORP FEB 22 19 $16 (100 SHS)</t>
  </si>
  <si>
    <t>PCG190315P21(3804419OK)</t>
  </si>
  <si>
    <t>PUT (PCG) PG &amp; E CORP MAR 15 19 $21 (100 SHS)</t>
  </si>
  <si>
    <t>PCG190517C21(4075749TP)</t>
  </si>
  <si>
    <t>CALL (PCG) PG&amp;E CORP COM NPV MAY 17 19 $21 (100 SHS)</t>
  </si>
  <si>
    <t>PGR190816C77.5(4106449OO)</t>
  </si>
  <si>
    <t>CALL (PGR) PROGRESSIVE AUG 16 19 $77.5 (100 SHS)</t>
  </si>
  <si>
    <t>PGR190816C82.5(4106449XX)</t>
  </si>
  <si>
    <t>CALL (PGR) PROGRESSIVE AUG 16 19 $82.5 (100 SHS)</t>
  </si>
  <si>
    <t>PYPL190118C100(3431929EY)</t>
  </si>
  <si>
    <t>CALL (PYPL) PAYPAL HLDGS INC COMJAN 18 19 $100 (100 SHS)</t>
  </si>
  <si>
    <t>QCOM190517C86(4186599EE)</t>
  </si>
  <si>
    <t>CALL (QCOM) QUALCOMM INC MAY 17 19 $86 (100 SHS)</t>
  </si>
  <si>
    <t>QCOM190517C90(4157979OM)</t>
  </si>
  <si>
    <t>CALL (QCOM) QUALCOMM INC MAY 17 19 $90 (100 SHS)</t>
  </si>
  <si>
    <t>QURE190517C60(4125889HF)</t>
  </si>
  <si>
    <t>CALL (QURE) UNIQURE N.V. COM MAY 17 19 $60 (100 SHS)</t>
  </si>
  <si>
    <t>QURE190517C70(4125889TT)</t>
  </si>
  <si>
    <t>CALL (QURE) UNIQURE N.V. COM MAY 17 19 $70 (100 SHS)</t>
  </si>
  <si>
    <t>QURE190719C80(4100339LH)</t>
  </si>
  <si>
    <t>CALL (QURE) UNIQURE N.V. COM JUL 19 19 $80 (100 SHS)</t>
  </si>
  <si>
    <t>QURE190719C95(4116569TR)</t>
  </si>
  <si>
    <t>CALL (QURE) UNIQURE N.V. COM JUL 19 19 $95 (100 SHS)</t>
  </si>
  <si>
    <t>RVLV(76156B107)</t>
  </si>
  <si>
    <t>REVOLVE GROUP INC CLA</t>
  </si>
  <si>
    <t>SNAP(83304A106)</t>
  </si>
  <si>
    <t>SNAP INC CL A</t>
  </si>
  <si>
    <t>SNAP190412C11.5(4104809QQ)</t>
  </si>
  <si>
    <t>CALL (SNAP) SNAP INC CL A APR 12 19 $11.5 (100 SHS)</t>
  </si>
  <si>
    <t>SOLY(834251100)</t>
  </si>
  <si>
    <t>SOLITON INC COM</t>
  </si>
  <si>
    <t>SQ(852234103)</t>
  </si>
  <si>
    <t>SQUARE INC CL A</t>
  </si>
  <si>
    <t>SQ190111P63.5(3976509BT)</t>
  </si>
  <si>
    <t>PUT (SQ) SQUARE INC CL A JAN 11 19 $63.5 (100 SHS)</t>
  </si>
  <si>
    <t>SQ190125P75(3989819RN)</t>
  </si>
  <si>
    <t>PUT (SQ) SQUARE INC CL A JAN 25 19 $75 (100 SHS)</t>
  </si>
  <si>
    <t>SQ190201C76(4042249HH)</t>
  </si>
  <si>
    <t>CALL (SQ) SQUARE INC CL A FEB 01 19 $76 (100 SHS)</t>
  </si>
  <si>
    <t>SQ190201C80(3997069EC)</t>
  </si>
  <si>
    <t>CALL (SQ) SQUARE INC CL A FEB 01 19 $80 (100 SHS)</t>
  </si>
  <si>
    <t>SQ190222P75(4032279RN)</t>
  </si>
  <si>
    <t>PUT (SQ) SQUARE INC CL A FEB 22 19 $75 (100 SHS)</t>
  </si>
  <si>
    <t>SQ190418C75(4052379PJ)</t>
  </si>
  <si>
    <t>CALL (SQ) SQUARE INC CL A APR 18 19 $75 (100 SHS)</t>
  </si>
  <si>
    <t>SQ190517C73.5(4169789NH)</t>
  </si>
  <si>
    <t>CALL (SQ) SQUARE INC CL A MAY 17 19 $73.5 (100 SHS)</t>
  </si>
  <si>
    <t>SQ190517C85(4089909CC)</t>
  </si>
  <si>
    <t>CALL (SQ) SQUARE INC CL A MAY 17 19 $85 (100 SHS)</t>
  </si>
  <si>
    <t>TGT(87612E106)</t>
  </si>
  <si>
    <t>TARGET CORP COM</t>
  </si>
  <si>
    <t>TGT190830C87.5(4269459DD)</t>
  </si>
  <si>
    <t>CALL (TGT) TARGET CORP COM AUG 30 19 $87.5 (100 SHS)</t>
  </si>
  <si>
    <t>TGT190830C92.5(4269449CW)</t>
  </si>
  <si>
    <t>CALL (TGT) TARGET CORP COM AUG 30 19 $92.5 (100 SHS)</t>
  </si>
  <si>
    <t>TMUS(872590104)</t>
  </si>
  <si>
    <t>T MOBILE US INC COM USD0.00001</t>
  </si>
  <si>
    <t>TMUS190726C82.5(4227609QK)</t>
  </si>
  <si>
    <t>CALL (TMUS) T MOBILE US INC COM JUL 26 19 $82.5 (100 SHS)</t>
  </si>
  <si>
    <t>TMUS190816C82.5(4099229CC)</t>
  </si>
  <si>
    <t>CALL (TMUS) T MOBILE US INC COM AUG 16 19 $82.5 (100 SHS)</t>
  </si>
  <si>
    <t>TNDM190104C37.5(3976699SO)</t>
  </si>
  <si>
    <t>CALL (TNDM) TANDEM DIABETES CAREJAN 04 19 $37.5 (100 SHS)</t>
  </si>
  <si>
    <t>TNDM190118C36(3789019RN)</t>
  </si>
  <si>
    <t>CALL (TNDM) TANDEM DIABETES CAREJAN 18 19 $36 (100 SHS)</t>
  </si>
  <si>
    <t>TNDM190118P30(3745459DD)</t>
  </si>
  <si>
    <t>PUT (TNDM) TANDEM DIABETES CAREJAN 18 19 $30 (100 SHS)</t>
  </si>
  <si>
    <t>TNDM190125C39.5(3983899JJ)</t>
  </si>
  <si>
    <t>CALL (TNDM) TANDEM DIABETES CAREJAN 25 19 $39.5 (100 SHS)</t>
  </si>
  <si>
    <t>TNDM190125P45(3995779WW)</t>
  </si>
  <si>
    <t>PUT (TNDM) TANDEM DIABETES CAREJAN 25 19 $45 (100 SHS)</t>
  </si>
  <si>
    <t>TNDM190215C55(3851619FD)</t>
  </si>
  <si>
    <t>CALL (TNDM) TANDEM DIABETES CAREFEB 15 19 $55 (100 SHS)</t>
  </si>
  <si>
    <t>TNDM190517P65(3888919TP)</t>
  </si>
  <si>
    <t>PUT (TNDM) TANDEM DIABETES CAREMAY 17 19 $65 (100 SHS)</t>
  </si>
  <si>
    <t>TNDM190802C70(4234599OK)</t>
  </si>
  <si>
    <t>CALL (TNDM) TANDEM DIABETES CAREAUG 02 19 $70 (100 SHS)</t>
  </si>
  <si>
    <t>TXN(882508104)</t>
  </si>
  <si>
    <t>TEXAS INSTRUMENTS INC COM USD1.00</t>
  </si>
  <si>
    <t>WW(948626106)</t>
  </si>
  <si>
    <t>WEIGHT WATCHERS INTLINC</t>
  </si>
  <si>
    <t>WW190719C17.5(4159599LF)</t>
  </si>
  <si>
    <t>CALL (WW) WEIGHT WATCHERS INTLJUL 19 19 $17.5 (100 SHS)</t>
  </si>
  <si>
    <t>XLF190329P27(3655149RP)</t>
  </si>
  <si>
    <t>PUT (XLF) SECTOR SPDR TR SHS MAR 29 19 $27 (100 SHS)</t>
  </si>
  <si>
    <t>XLF190517C27(4075869XT)</t>
  </si>
  <si>
    <t>CALL (XLF) SECTOR SPDR TR SHS MAY 17 19 $27 (100 SHS)</t>
  </si>
  <si>
    <t>XOP190517C32(4092139AU)</t>
  </si>
  <si>
    <t>CALL (XOP) SPDR SER TR MAY 17 19 $32 (100 SHS)</t>
  </si>
  <si>
    <t>XOP190621C33(3737659OK)</t>
  </si>
  <si>
    <t>CALL (XOP) SPDR SER TR JUN 21 19 $33 (100 SHS)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</si>
</sst>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4" fontId="0" fillId="0" borderId="10" xfId="0" applyNumberFormat="1" applyBorder="1" applyAlignment="1">
      <alignment horizontal="center" vertical="center"/>
    </xf>
    <xf numFmtId="8" fontId="0" fillId="0" borderId="10" xfId="0" applyNumberFormat="1" applyBorder="1"/>
    <xf numFmtId="8" fontId="0" fillId="0" borderId="10" xfId="0" applyNumberFormat="1" applyBorder="1" applyAlignment="1">
      <alignment horizontal="center" vertical="center"/>
    </xf>
    <xf numFmtId="0" fontId="0" fillId="0" borderId="12" xfId="0" applyBorder="1"/>
    <xf numFmtId="14" fontId="0" fillId="0" borderId="12" xfId="0" applyNumberFormat="1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14" fontId="0" fillId="0" borderId="20" xfId="0" applyNumberFormat="1" applyBorder="1"/>
    <xf numFmtId="14" fontId="0" fillId="0" borderId="20" xfId="0" applyNumberFormat="1" applyBorder="1" applyAlignment="1">
      <alignment horizontal="center" vertical="center"/>
    </xf>
    <xf numFmtId="8" fontId="0" fillId="0" borderId="20" xfId="0" applyNumberFormat="1" applyBorder="1"/>
    <xf numFmtId="8" fontId="0" fillId="0" borderId="16" xfId="0" applyNumberFormat="1" applyBorder="1" applyAlignment="1">
      <alignment horizontal="right"/>
    </xf>
    <xf numFmtId="8" fontId="0" fillId="0" borderId="18" xfId="0" applyNumberFormat="1" applyBorder="1" applyAlignment="1">
      <alignment horizontal="right" vertical="center"/>
    </xf>
    <xf numFmtId="8" fontId="0" fillId="0" borderId="18" xfId="0" applyNumberFormat="1" applyBorder="1" applyAlignment="1">
      <alignment horizontal="right" vertical="center"/>
    </xf>
    <xf numFmtId="8" fontId="0" fillId="0" borderId="21" xfId="0" applyNumberFormat="1" applyBorder="1" applyAlignment="1">
      <alignment horizontal="right" vertical="center"/>
    </xf>
    <xf numFmtId="8" fontId="0" fillId="0" borderId="11" xfId="0" applyNumberFormat="1" applyBorder="1" applyAlignment="1">
      <alignment horizontal="right" vertical="center"/>
    </xf>
    <xf numFmtId="8" fontId="0" fillId="0" borderId="12" xfId="0" applyNumberFormat="1" applyBorder="1" applyAlignment="1">
      <alignment horizontal="right" vertical="center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6"/>
  <sheetViews>
    <sheetView workbookViewId="0">
      <pane ySplit="1" topLeftCell="A2" activePane="bottomLeft" state="frozen"/>
      <selection pane="bottomLeft" activeCell="K45" sqref="K45"/>
    </sheetView>
  </sheetViews>
  <sheetFormatPr defaultRowHeight="14.25" x14ac:dyDescent="0.45"/>
  <cols>
    <col min="1" max="1" width="34.6640625" style="1" customWidth="1"/>
    <col min="2" max="2" width="72.265625" style="1" customWidth="1"/>
    <col min="3" max="3" width="7.6640625" style="1" bestFit="1" customWidth="1"/>
    <col min="4" max="4" width="11.9296875" style="1" bestFit="1" customWidth="1"/>
    <col min="5" max="5" width="9.19921875" style="1" bestFit="1" customWidth="1"/>
    <col min="6" max="7" width="11.265625" style="1" bestFit="1" customWidth="1"/>
    <col min="8" max="8" width="17.6640625" style="1" bestFit="1" customWidth="1"/>
    <col min="9" max="9" width="0" style="1" hidden="1" customWidth="1"/>
    <col min="10" max="10" width="10.265625" style="24" bestFit="1" customWidth="1"/>
    <col min="11" max="16384" width="9.06640625" style="1"/>
  </cols>
  <sheetData>
    <row r="1" spans="1:11" x14ac:dyDescent="0.4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8">
        <f>SUM(J2:J58)</f>
        <v>20335.71</v>
      </c>
      <c r="K1" s="9"/>
    </row>
    <row r="2" spans="1:11" x14ac:dyDescent="0.45">
      <c r="A2" s="12" t="s">
        <v>52</v>
      </c>
      <c r="B2" s="1" t="s">
        <v>53</v>
      </c>
      <c r="C2" s="1">
        <v>1</v>
      </c>
      <c r="D2" s="2">
        <v>43671</v>
      </c>
      <c r="E2" s="3">
        <v>43672</v>
      </c>
      <c r="F2" s="4">
        <v>1329.33</v>
      </c>
      <c r="G2" s="4">
        <v>498.64</v>
      </c>
      <c r="H2" s="4">
        <v>830.69</v>
      </c>
      <c r="I2" s="1" t="s">
        <v>11</v>
      </c>
      <c r="J2" s="19">
        <f>SUM(H2:H12)</f>
        <v>8666.7799999999988</v>
      </c>
      <c r="K2" s="9"/>
    </row>
    <row r="3" spans="1:11" x14ac:dyDescent="0.45">
      <c r="A3" s="12" t="s">
        <v>54</v>
      </c>
      <c r="B3" s="1" t="s">
        <v>55</v>
      </c>
      <c r="C3" s="1">
        <v>1</v>
      </c>
      <c r="D3" s="2">
        <v>43672</v>
      </c>
      <c r="E3" s="3"/>
      <c r="F3" s="4">
        <v>544.34</v>
      </c>
      <c r="G3" s="4">
        <v>235.69</v>
      </c>
      <c r="H3" s="4">
        <v>308.64999999999998</v>
      </c>
      <c r="I3" s="1" t="s">
        <v>11</v>
      </c>
      <c r="J3" s="19"/>
      <c r="K3" s="9"/>
    </row>
    <row r="4" spans="1:11" x14ac:dyDescent="0.45">
      <c r="A4" s="12" t="s">
        <v>228</v>
      </c>
      <c r="B4" s="1" t="s">
        <v>229</v>
      </c>
      <c r="C4" s="1">
        <v>18</v>
      </c>
      <c r="D4" s="2">
        <v>43671</v>
      </c>
      <c r="E4" s="3"/>
      <c r="F4" s="4">
        <v>2685.76</v>
      </c>
      <c r="G4" s="4">
        <v>1061.3499999999999</v>
      </c>
      <c r="H4" s="4">
        <v>1624.41</v>
      </c>
      <c r="I4" s="1" t="s">
        <v>11</v>
      </c>
      <c r="J4" s="19"/>
      <c r="K4" s="9"/>
    </row>
    <row r="5" spans="1:11" x14ac:dyDescent="0.45">
      <c r="A5" s="12" t="s">
        <v>228</v>
      </c>
      <c r="B5" s="1" t="s">
        <v>229</v>
      </c>
      <c r="C5" s="1">
        <v>2</v>
      </c>
      <c r="D5" s="2">
        <v>43671</v>
      </c>
      <c r="E5" s="3"/>
      <c r="F5" s="4">
        <v>298.42</v>
      </c>
      <c r="G5" s="4">
        <v>113.38</v>
      </c>
      <c r="H5" s="4">
        <v>185.04</v>
      </c>
      <c r="I5" s="1" t="s">
        <v>11</v>
      </c>
      <c r="J5" s="19"/>
      <c r="K5" s="9"/>
    </row>
    <row r="6" spans="1:11" x14ac:dyDescent="0.45">
      <c r="A6" s="12" t="s">
        <v>228</v>
      </c>
      <c r="B6" s="1" t="s">
        <v>229</v>
      </c>
      <c r="C6" s="1">
        <v>10</v>
      </c>
      <c r="D6" s="2">
        <v>43671</v>
      </c>
      <c r="E6" s="3"/>
      <c r="F6" s="4">
        <v>1492.09</v>
      </c>
      <c r="G6" s="4">
        <v>311.83999999999997</v>
      </c>
      <c r="H6" s="4">
        <v>1180.25</v>
      </c>
      <c r="I6" s="1" t="s">
        <v>11</v>
      </c>
      <c r="J6" s="19"/>
      <c r="K6" s="9"/>
    </row>
    <row r="7" spans="1:11" x14ac:dyDescent="0.45">
      <c r="A7" s="12" t="s">
        <v>228</v>
      </c>
      <c r="B7" s="1" t="s">
        <v>229</v>
      </c>
      <c r="C7" s="1">
        <v>10</v>
      </c>
      <c r="D7" s="2">
        <v>43671</v>
      </c>
      <c r="E7" s="3"/>
      <c r="F7" s="4">
        <v>1492.09</v>
      </c>
      <c r="G7" s="4">
        <v>199.89</v>
      </c>
      <c r="H7" s="4">
        <v>1292.2</v>
      </c>
      <c r="I7" s="1" t="s">
        <v>11</v>
      </c>
      <c r="J7" s="19"/>
      <c r="K7" s="9"/>
    </row>
    <row r="8" spans="1:11" x14ac:dyDescent="0.45">
      <c r="A8" s="12" t="s">
        <v>228</v>
      </c>
      <c r="B8" s="1" t="s">
        <v>229</v>
      </c>
      <c r="C8" s="1">
        <v>10</v>
      </c>
      <c r="D8" s="2">
        <v>43672</v>
      </c>
      <c r="E8" s="3"/>
      <c r="F8" s="4">
        <v>1492.09</v>
      </c>
      <c r="G8" s="4">
        <v>157.88999999999999</v>
      </c>
      <c r="H8" s="4">
        <v>1334.2</v>
      </c>
      <c r="I8" s="1" t="s">
        <v>11</v>
      </c>
      <c r="J8" s="19"/>
      <c r="K8" s="9"/>
    </row>
    <row r="9" spans="1:11" x14ac:dyDescent="0.45">
      <c r="A9" s="12" t="s">
        <v>230</v>
      </c>
      <c r="B9" s="1" t="s">
        <v>231</v>
      </c>
      <c r="C9" s="1">
        <v>1</v>
      </c>
      <c r="D9" s="2">
        <v>43605</v>
      </c>
      <c r="E9" s="3"/>
      <c r="F9" s="4">
        <v>311.81</v>
      </c>
      <c r="G9" s="4">
        <v>352.69</v>
      </c>
      <c r="H9" s="4">
        <v>-40.880000000000003</v>
      </c>
      <c r="I9" s="1" t="s">
        <v>11</v>
      </c>
      <c r="J9" s="19"/>
      <c r="K9" s="9"/>
    </row>
    <row r="10" spans="1:11" x14ac:dyDescent="0.45">
      <c r="A10" s="12" t="s">
        <v>230</v>
      </c>
      <c r="B10" s="1" t="s">
        <v>231</v>
      </c>
      <c r="C10" s="1">
        <v>2</v>
      </c>
      <c r="D10" s="2">
        <v>43661</v>
      </c>
      <c r="E10" s="3"/>
      <c r="F10" s="4">
        <v>623.62</v>
      </c>
      <c r="G10" s="4">
        <v>278.33</v>
      </c>
      <c r="H10" s="4">
        <v>345.29</v>
      </c>
      <c r="I10" s="1" t="s">
        <v>11</v>
      </c>
      <c r="J10" s="19"/>
      <c r="K10" s="9"/>
    </row>
    <row r="11" spans="1:11" x14ac:dyDescent="0.45">
      <c r="A11" s="12" t="s">
        <v>230</v>
      </c>
      <c r="B11" s="1" t="s">
        <v>231</v>
      </c>
      <c r="C11" s="1">
        <v>4</v>
      </c>
      <c r="D11" s="2">
        <v>43663</v>
      </c>
      <c r="E11" s="3"/>
      <c r="F11" s="4">
        <v>1247.24</v>
      </c>
      <c r="G11" s="4">
        <v>415.71</v>
      </c>
      <c r="H11" s="4">
        <v>831.53</v>
      </c>
      <c r="I11" s="1" t="s">
        <v>11</v>
      </c>
      <c r="J11" s="19"/>
      <c r="K11" s="9"/>
    </row>
    <row r="12" spans="1:11" x14ac:dyDescent="0.45">
      <c r="A12" s="12" t="s">
        <v>230</v>
      </c>
      <c r="B12" s="1" t="s">
        <v>231</v>
      </c>
      <c r="C12" s="1">
        <v>3</v>
      </c>
      <c r="D12" s="2">
        <v>43668</v>
      </c>
      <c r="E12" s="3"/>
      <c r="F12" s="4">
        <v>935.42</v>
      </c>
      <c r="G12" s="4">
        <v>160.02000000000001</v>
      </c>
      <c r="H12" s="4">
        <v>775.4</v>
      </c>
      <c r="I12" s="1" t="s">
        <v>11</v>
      </c>
      <c r="J12" s="19"/>
      <c r="K12" s="9"/>
    </row>
    <row r="13" spans="1:11" x14ac:dyDescent="0.45">
      <c r="A13" s="12" t="s">
        <v>48</v>
      </c>
      <c r="B13" s="1" t="s">
        <v>49</v>
      </c>
      <c r="C13" s="1">
        <v>15</v>
      </c>
      <c r="D13" s="2">
        <v>43670</v>
      </c>
      <c r="E13" s="3">
        <v>43671</v>
      </c>
      <c r="F13" s="4">
        <v>20834.28</v>
      </c>
      <c r="G13" s="4">
        <v>5935.33</v>
      </c>
      <c r="H13" s="4">
        <v>14898.95</v>
      </c>
      <c r="I13" s="1" t="s">
        <v>11</v>
      </c>
      <c r="J13" s="19">
        <f>SUM(H13:H15)</f>
        <v>5438.2200000000012</v>
      </c>
      <c r="K13" s="9"/>
    </row>
    <row r="14" spans="1:11" x14ac:dyDescent="0.45">
      <c r="A14" s="12" t="s">
        <v>50</v>
      </c>
      <c r="B14" s="1" t="s">
        <v>51</v>
      </c>
      <c r="C14" s="1">
        <v>5</v>
      </c>
      <c r="D14" s="2">
        <v>43670</v>
      </c>
      <c r="E14" s="3"/>
      <c r="F14" s="4">
        <v>1311.53</v>
      </c>
      <c r="G14" s="4">
        <v>4953.4399999999996</v>
      </c>
      <c r="H14" s="4">
        <v>-3641.91</v>
      </c>
      <c r="I14" s="1" t="s">
        <v>11</v>
      </c>
      <c r="J14" s="19"/>
      <c r="K14" s="9"/>
    </row>
    <row r="15" spans="1:11" x14ac:dyDescent="0.45">
      <c r="A15" s="12" t="s">
        <v>50</v>
      </c>
      <c r="B15" s="1" t="s">
        <v>51</v>
      </c>
      <c r="C15" s="1">
        <v>10</v>
      </c>
      <c r="D15" s="2">
        <v>43671</v>
      </c>
      <c r="E15" s="3"/>
      <c r="F15" s="4">
        <v>4088.07</v>
      </c>
      <c r="G15" s="4">
        <v>9906.89</v>
      </c>
      <c r="H15" s="4">
        <v>-5818.82</v>
      </c>
      <c r="I15" s="1" t="s">
        <v>11</v>
      </c>
      <c r="J15" s="19"/>
      <c r="K15" s="9"/>
    </row>
    <row r="16" spans="1:11" x14ac:dyDescent="0.45">
      <c r="A16" s="12" t="s">
        <v>46</v>
      </c>
      <c r="B16" s="1" t="s">
        <v>47</v>
      </c>
      <c r="C16" s="1">
        <v>1</v>
      </c>
      <c r="D16" s="2">
        <v>43668</v>
      </c>
      <c r="E16" s="3">
        <v>43670</v>
      </c>
      <c r="F16" s="4">
        <v>593.30999999999995</v>
      </c>
      <c r="G16" s="4">
        <v>400.64</v>
      </c>
      <c r="H16" s="4">
        <v>192.67</v>
      </c>
      <c r="I16" s="1" t="s">
        <v>11</v>
      </c>
      <c r="J16" s="19">
        <f>SUM(H16:H27)</f>
        <v>4186.38</v>
      </c>
      <c r="K16" s="9"/>
    </row>
    <row r="17" spans="1:11" x14ac:dyDescent="0.45">
      <c r="A17" s="12" t="s">
        <v>46</v>
      </c>
      <c r="B17" s="1" t="s">
        <v>47</v>
      </c>
      <c r="C17" s="1">
        <v>3</v>
      </c>
      <c r="D17" s="2">
        <v>43668</v>
      </c>
      <c r="E17" s="3"/>
      <c r="F17" s="4">
        <v>1779.92</v>
      </c>
      <c r="G17" s="4">
        <v>1190.07</v>
      </c>
      <c r="H17" s="4">
        <v>589.85</v>
      </c>
      <c r="I17" s="1" t="s">
        <v>11</v>
      </c>
      <c r="J17" s="19"/>
      <c r="K17" s="9"/>
    </row>
    <row r="18" spans="1:11" x14ac:dyDescent="0.45">
      <c r="A18" s="12" t="s">
        <v>46</v>
      </c>
      <c r="B18" s="1" t="s">
        <v>47</v>
      </c>
      <c r="C18" s="1">
        <v>1</v>
      </c>
      <c r="D18" s="2">
        <v>43668</v>
      </c>
      <c r="E18" s="3"/>
      <c r="F18" s="4">
        <v>593.30999999999995</v>
      </c>
      <c r="G18" s="4">
        <v>397.69</v>
      </c>
      <c r="H18" s="4">
        <v>195.62</v>
      </c>
      <c r="I18" s="1" t="s">
        <v>11</v>
      </c>
      <c r="J18" s="19"/>
      <c r="K18" s="9"/>
    </row>
    <row r="19" spans="1:11" x14ac:dyDescent="0.45">
      <c r="A19" s="12" t="s">
        <v>46</v>
      </c>
      <c r="B19" s="1" t="s">
        <v>47</v>
      </c>
      <c r="C19" s="1">
        <v>2</v>
      </c>
      <c r="D19" s="2">
        <v>43668</v>
      </c>
      <c r="E19" s="3"/>
      <c r="F19" s="4">
        <v>1186.5999999999999</v>
      </c>
      <c r="G19" s="4">
        <v>795.38</v>
      </c>
      <c r="H19" s="4">
        <v>391.22</v>
      </c>
      <c r="I19" s="1" t="s">
        <v>11</v>
      </c>
      <c r="J19" s="19"/>
      <c r="K19" s="9"/>
    </row>
    <row r="20" spans="1:11" x14ac:dyDescent="0.45">
      <c r="A20" s="12" t="s">
        <v>46</v>
      </c>
      <c r="B20" s="1" t="s">
        <v>47</v>
      </c>
      <c r="C20" s="1">
        <v>3</v>
      </c>
      <c r="D20" s="2">
        <v>43668</v>
      </c>
      <c r="E20" s="3"/>
      <c r="F20" s="4">
        <v>1779.89</v>
      </c>
      <c r="G20" s="4">
        <v>1196.07</v>
      </c>
      <c r="H20" s="4">
        <v>583.82000000000005</v>
      </c>
      <c r="I20" s="1" t="s">
        <v>11</v>
      </c>
      <c r="J20" s="19"/>
      <c r="K20" s="9"/>
    </row>
    <row r="21" spans="1:11" x14ac:dyDescent="0.45">
      <c r="A21" s="12" t="s">
        <v>46</v>
      </c>
      <c r="B21" s="1" t="s">
        <v>47</v>
      </c>
      <c r="C21" s="1">
        <v>4</v>
      </c>
      <c r="D21" s="2">
        <v>43669</v>
      </c>
      <c r="E21" s="3"/>
      <c r="F21" s="4">
        <v>2373.19</v>
      </c>
      <c r="G21" s="4">
        <v>2071.71</v>
      </c>
      <c r="H21" s="4">
        <v>301.48</v>
      </c>
      <c r="I21" s="1" t="s">
        <v>11</v>
      </c>
      <c r="J21" s="19"/>
      <c r="K21" s="9"/>
    </row>
    <row r="22" spans="1:11" x14ac:dyDescent="0.45">
      <c r="A22" s="12" t="s">
        <v>50</v>
      </c>
      <c r="B22" s="1" t="s">
        <v>51</v>
      </c>
      <c r="C22" s="1">
        <v>3</v>
      </c>
      <c r="D22" s="2">
        <v>43668</v>
      </c>
      <c r="E22" s="3"/>
      <c r="F22" s="4">
        <v>618.91</v>
      </c>
      <c r="G22" s="4">
        <v>513.54999999999995</v>
      </c>
      <c r="H22" s="4">
        <v>105.36</v>
      </c>
      <c r="I22" s="1" t="s">
        <v>11</v>
      </c>
      <c r="J22" s="19"/>
      <c r="K22" s="9"/>
    </row>
    <row r="23" spans="1:11" x14ac:dyDescent="0.45">
      <c r="A23" s="12" t="s">
        <v>50</v>
      </c>
      <c r="B23" s="1" t="s">
        <v>51</v>
      </c>
      <c r="C23" s="1">
        <v>2</v>
      </c>
      <c r="D23" s="2">
        <v>43668</v>
      </c>
      <c r="E23" s="3"/>
      <c r="F23" s="4">
        <v>410.61</v>
      </c>
      <c r="G23" s="4">
        <v>342.37</v>
      </c>
      <c r="H23" s="4">
        <v>68.239999999999995</v>
      </c>
      <c r="I23" s="1" t="s">
        <v>11</v>
      </c>
      <c r="J23" s="19"/>
      <c r="K23" s="9"/>
    </row>
    <row r="24" spans="1:11" x14ac:dyDescent="0.45">
      <c r="A24" s="12" t="s">
        <v>50</v>
      </c>
      <c r="B24" s="1" t="s">
        <v>51</v>
      </c>
      <c r="C24" s="1">
        <v>5</v>
      </c>
      <c r="D24" s="2">
        <v>43668</v>
      </c>
      <c r="E24" s="3"/>
      <c r="F24" s="4">
        <v>1021.53</v>
      </c>
      <c r="G24" s="4">
        <v>855.92</v>
      </c>
      <c r="H24" s="4">
        <v>165.61</v>
      </c>
      <c r="I24" s="1" t="s">
        <v>11</v>
      </c>
      <c r="J24" s="19"/>
      <c r="K24" s="9"/>
    </row>
    <row r="25" spans="1:11" x14ac:dyDescent="0.45">
      <c r="A25" s="12" t="s">
        <v>222</v>
      </c>
      <c r="B25" s="1" t="s">
        <v>223</v>
      </c>
      <c r="C25" s="1">
        <v>10</v>
      </c>
      <c r="D25" s="2">
        <v>43657</v>
      </c>
      <c r="E25" s="3"/>
      <c r="F25" s="4">
        <v>4088.07</v>
      </c>
      <c r="G25" s="4">
        <v>2901.84</v>
      </c>
      <c r="H25" s="4">
        <v>1186.23</v>
      </c>
      <c r="I25" s="1" t="s">
        <v>11</v>
      </c>
      <c r="J25" s="19"/>
      <c r="K25" s="9"/>
    </row>
    <row r="26" spans="1:11" x14ac:dyDescent="0.45">
      <c r="A26" s="12" t="s">
        <v>246</v>
      </c>
      <c r="B26" s="1" t="s">
        <v>247</v>
      </c>
      <c r="C26" s="1">
        <v>5</v>
      </c>
      <c r="D26" s="2">
        <v>43663</v>
      </c>
      <c r="E26" s="3"/>
      <c r="F26" s="4">
        <v>1034.06</v>
      </c>
      <c r="G26" s="4">
        <v>833.39</v>
      </c>
      <c r="H26" s="4">
        <v>200.67</v>
      </c>
      <c r="I26" s="1" t="s">
        <v>11</v>
      </c>
      <c r="J26" s="19"/>
      <c r="K26" s="9"/>
    </row>
    <row r="27" spans="1:11" x14ac:dyDescent="0.45">
      <c r="A27" s="12" t="s">
        <v>246</v>
      </c>
      <c r="B27" s="1" t="s">
        <v>247</v>
      </c>
      <c r="C27" s="1">
        <v>5</v>
      </c>
      <c r="D27" s="2">
        <v>43663</v>
      </c>
      <c r="E27" s="3"/>
      <c r="F27" s="4">
        <v>1034.05</v>
      </c>
      <c r="G27" s="4">
        <v>828.44</v>
      </c>
      <c r="H27" s="4">
        <v>205.61</v>
      </c>
      <c r="I27" s="1" t="s">
        <v>11</v>
      </c>
      <c r="J27" s="19"/>
      <c r="K27" s="9"/>
    </row>
    <row r="28" spans="1:11" x14ac:dyDescent="0.45">
      <c r="A28" s="12" t="s">
        <v>88</v>
      </c>
      <c r="B28" s="1" t="s">
        <v>89</v>
      </c>
      <c r="C28" s="1">
        <v>35</v>
      </c>
      <c r="D28" s="2">
        <v>43663</v>
      </c>
      <c r="E28" s="3">
        <v>43665</v>
      </c>
      <c r="F28" s="4">
        <v>3055.82</v>
      </c>
      <c r="G28" s="4">
        <v>2512.5700000000002</v>
      </c>
      <c r="H28" s="4">
        <v>543.25</v>
      </c>
      <c r="I28" s="1" t="s">
        <v>11</v>
      </c>
      <c r="J28" s="19">
        <f>SUM(H28:H33)</f>
        <v>-1996.4499999999998</v>
      </c>
      <c r="K28" s="9"/>
    </row>
    <row r="29" spans="1:11" x14ac:dyDescent="0.45">
      <c r="A29" s="12" t="s">
        <v>88</v>
      </c>
      <c r="B29" s="1" t="s">
        <v>89</v>
      </c>
      <c r="C29" s="1">
        <v>15</v>
      </c>
      <c r="D29" s="2">
        <v>43663</v>
      </c>
      <c r="E29" s="3"/>
      <c r="F29" s="4">
        <v>1304.69</v>
      </c>
      <c r="G29" s="4">
        <v>1076.82</v>
      </c>
      <c r="H29" s="4">
        <v>227.87</v>
      </c>
      <c r="I29" s="1" t="s">
        <v>11</v>
      </c>
      <c r="J29" s="19"/>
      <c r="K29" s="9"/>
    </row>
    <row r="30" spans="1:11" x14ac:dyDescent="0.45">
      <c r="A30" s="12" t="s">
        <v>190</v>
      </c>
      <c r="B30" s="1" t="s">
        <v>191</v>
      </c>
      <c r="C30" s="1">
        <v>2</v>
      </c>
      <c r="D30" s="2">
        <v>43633</v>
      </c>
      <c r="E30" s="3"/>
      <c r="F30" s="4">
        <v>0</v>
      </c>
      <c r="G30" s="4">
        <v>1436.33</v>
      </c>
      <c r="H30" s="4">
        <v>-1436.33</v>
      </c>
      <c r="I30" s="1" t="s">
        <v>11</v>
      </c>
      <c r="J30" s="19"/>
      <c r="K30" s="9"/>
    </row>
    <row r="31" spans="1:11" x14ac:dyDescent="0.45">
      <c r="A31" s="12" t="s">
        <v>190</v>
      </c>
      <c r="B31" s="1" t="s">
        <v>191</v>
      </c>
      <c r="C31" s="1">
        <v>3</v>
      </c>
      <c r="D31" s="2">
        <v>43654</v>
      </c>
      <c r="E31" s="3"/>
      <c r="F31" s="4">
        <v>0</v>
      </c>
      <c r="G31" s="4">
        <v>796.02</v>
      </c>
      <c r="H31" s="4">
        <v>-796.02</v>
      </c>
      <c r="I31" s="1" t="s">
        <v>11</v>
      </c>
      <c r="J31" s="19"/>
      <c r="K31" s="9"/>
    </row>
    <row r="32" spans="1:11" x14ac:dyDescent="0.45">
      <c r="A32" s="12" t="s">
        <v>190</v>
      </c>
      <c r="B32" s="1" t="s">
        <v>191</v>
      </c>
      <c r="C32" s="1">
        <v>5</v>
      </c>
      <c r="D32" s="2">
        <v>43656</v>
      </c>
      <c r="E32" s="3"/>
      <c r="F32" s="4">
        <v>0</v>
      </c>
      <c r="G32" s="4">
        <v>508.39</v>
      </c>
      <c r="H32" s="4">
        <v>-508.39</v>
      </c>
      <c r="I32" s="1" t="s">
        <v>11</v>
      </c>
      <c r="J32" s="19"/>
      <c r="K32" s="9"/>
    </row>
    <row r="33" spans="1:11" x14ac:dyDescent="0.45">
      <c r="A33" s="12" t="s">
        <v>224</v>
      </c>
      <c r="B33" s="1" t="s">
        <v>225</v>
      </c>
      <c r="C33" s="1">
        <v>1</v>
      </c>
      <c r="D33" s="2">
        <v>43663</v>
      </c>
      <c r="E33" s="3"/>
      <c r="F33" s="4">
        <v>155.81</v>
      </c>
      <c r="G33" s="4">
        <v>182.64</v>
      </c>
      <c r="H33" s="4">
        <v>-26.83</v>
      </c>
      <c r="I33" s="1" t="s">
        <v>11</v>
      </c>
      <c r="J33" s="19"/>
      <c r="K33" s="9"/>
    </row>
    <row r="34" spans="1:11" x14ac:dyDescent="0.45">
      <c r="A34" s="12" t="s">
        <v>224</v>
      </c>
      <c r="B34" s="1" t="s">
        <v>225</v>
      </c>
      <c r="C34" s="1">
        <v>9</v>
      </c>
      <c r="D34" s="2">
        <v>43663</v>
      </c>
      <c r="E34" s="2">
        <v>43664</v>
      </c>
      <c r="F34" s="4">
        <v>1402.31</v>
      </c>
      <c r="G34" s="4">
        <v>1415.15</v>
      </c>
      <c r="H34" s="4">
        <v>-12.84</v>
      </c>
      <c r="I34" s="1" t="s">
        <v>11</v>
      </c>
      <c r="J34" s="20">
        <f>SUM(H34:I34)</f>
        <v>-12.84</v>
      </c>
      <c r="K34" s="9"/>
    </row>
    <row r="35" spans="1:11" x14ac:dyDescent="0.45">
      <c r="A35" s="12" t="s">
        <v>132</v>
      </c>
      <c r="B35" s="1" t="s">
        <v>133</v>
      </c>
      <c r="C35" s="1">
        <v>50</v>
      </c>
      <c r="D35" s="2">
        <v>43626</v>
      </c>
      <c r="E35" s="3">
        <v>43658</v>
      </c>
      <c r="F35" s="4">
        <v>0</v>
      </c>
      <c r="G35" s="4">
        <v>789.39</v>
      </c>
      <c r="H35" s="4">
        <v>-789.39</v>
      </c>
      <c r="I35" s="1" t="s">
        <v>11</v>
      </c>
      <c r="J35" s="19">
        <f>SUM(H35:H38)</f>
        <v>-1224.9399999999998</v>
      </c>
      <c r="K35" s="9"/>
    </row>
    <row r="36" spans="1:11" x14ac:dyDescent="0.45">
      <c r="A36" s="12" t="s">
        <v>132</v>
      </c>
      <c r="B36" s="1" t="s">
        <v>133</v>
      </c>
      <c r="C36" s="1">
        <v>20</v>
      </c>
      <c r="D36" s="2">
        <v>43627</v>
      </c>
      <c r="E36" s="3"/>
      <c r="F36" s="4">
        <v>0</v>
      </c>
      <c r="G36" s="4">
        <v>147.78</v>
      </c>
      <c r="H36" s="4">
        <v>-147.78</v>
      </c>
      <c r="I36" s="1" t="s">
        <v>11</v>
      </c>
      <c r="J36" s="19"/>
      <c r="K36" s="9"/>
    </row>
    <row r="37" spans="1:11" x14ac:dyDescent="0.45">
      <c r="A37" s="12" t="s">
        <v>132</v>
      </c>
      <c r="B37" s="1" t="s">
        <v>133</v>
      </c>
      <c r="C37" s="1">
        <v>30</v>
      </c>
      <c r="D37" s="2">
        <v>43636</v>
      </c>
      <c r="E37" s="3"/>
      <c r="F37" s="4">
        <v>0</v>
      </c>
      <c r="G37" s="4">
        <v>221.66</v>
      </c>
      <c r="H37" s="4">
        <v>-221.66</v>
      </c>
      <c r="I37" s="1" t="s">
        <v>11</v>
      </c>
      <c r="J37" s="19"/>
      <c r="K37" s="9"/>
    </row>
    <row r="38" spans="1:11" x14ac:dyDescent="0.45">
      <c r="A38" s="12" t="s">
        <v>132</v>
      </c>
      <c r="B38" s="1" t="s">
        <v>133</v>
      </c>
      <c r="C38" s="1">
        <v>30</v>
      </c>
      <c r="D38" s="2">
        <v>43647</v>
      </c>
      <c r="E38" s="3"/>
      <c r="F38" s="4">
        <v>0</v>
      </c>
      <c r="G38" s="4">
        <v>66.11</v>
      </c>
      <c r="H38" s="4">
        <v>-66.11</v>
      </c>
      <c r="I38" s="1" t="s">
        <v>11</v>
      </c>
      <c r="J38" s="19"/>
      <c r="K38" s="9"/>
    </row>
    <row r="39" spans="1:11" x14ac:dyDescent="0.45">
      <c r="A39" s="12" t="s">
        <v>42</v>
      </c>
      <c r="B39" s="1" t="s">
        <v>43</v>
      </c>
      <c r="C39" s="1">
        <v>2</v>
      </c>
      <c r="D39" s="2">
        <v>43637</v>
      </c>
      <c r="E39" s="3">
        <v>43657</v>
      </c>
      <c r="F39" s="4">
        <v>658.28</v>
      </c>
      <c r="G39" s="4">
        <v>1696.33</v>
      </c>
      <c r="H39" s="4">
        <v>-1038.05</v>
      </c>
      <c r="I39" s="1" t="s">
        <v>11</v>
      </c>
      <c r="J39" s="19">
        <f>SUM(H39:H45)</f>
        <v>3248.94</v>
      </c>
      <c r="K39" s="9"/>
    </row>
    <row r="40" spans="1:11" x14ac:dyDescent="0.45">
      <c r="A40" s="12" t="s">
        <v>42</v>
      </c>
      <c r="B40" s="1" t="s">
        <v>43</v>
      </c>
      <c r="C40" s="1">
        <v>2</v>
      </c>
      <c r="D40" s="2">
        <v>43647</v>
      </c>
      <c r="E40" s="3"/>
      <c r="F40" s="4">
        <v>658.28</v>
      </c>
      <c r="G40" s="4">
        <v>774.33</v>
      </c>
      <c r="H40" s="4">
        <v>-116.05</v>
      </c>
      <c r="I40" s="1" t="s">
        <v>11</v>
      </c>
      <c r="J40" s="19"/>
      <c r="K40" s="9"/>
    </row>
    <row r="41" spans="1:11" x14ac:dyDescent="0.45">
      <c r="A41" s="12" t="s">
        <v>42</v>
      </c>
      <c r="B41" s="1" t="s">
        <v>43</v>
      </c>
      <c r="C41" s="1">
        <v>3</v>
      </c>
      <c r="D41" s="2">
        <v>43654</v>
      </c>
      <c r="E41" s="3"/>
      <c r="F41" s="4">
        <v>987.42</v>
      </c>
      <c r="G41" s="4">
        <v>469.02</v>
      </c>
      <c r="H41" s="4">
        <v>518.4</v>
      </c>
      <c r="I41" s="1" t="s">
        <v>11</v>
      </c>
      <c r="J41" s="19"/>
      <c r="K41" s="9"/>
    </row>
    <row r="42" spans="1:11" x14ac:dyDescent="0.45">
      <c r="A42" s="12" t="s">
        <v>42</v>
      </c>
      <c r="B42" s="1" t="s">
        <v>43</v>
      </c>
      <c r="C42" s="1">
        <v>3</v>
      </c>
      <c r="D42" s="2">
        <v>43654</v>
      </c>
      <c r="E42" s="3"/>
      <c r="F42" s="4">
        <v>987.42</v>
      </c>
      <c r="G42" s="4">
        <v>448.02</v>
      </c>
      <c r="H42" s="4">
        <v>539.4</v>
      </c>
      <c r="I42" s="1" t="s">
        <v>11</v>
      </c>
      <c r="J42" s="19"/>
      <c r="K42" s="9"/>
    </row>
    <row r="43" spans="1:11" x14ac:dyDescent="0.45">
      <c r="A43" s="12" t="s">
        <v>42</v>
      </c>
      <c r="B43" s="1" t="s">
        <v>43</v>
      </c>
      <c r="C43" s="1">
        <v>10</v>
      </c>
      <c r="D43" s="2">
        <v>43654</v>
      </c>
      <c r="E43" s="3"/>
      <c r="F43" s="4">
        <v>3291.39</v>
      </c>
      <c r="G43" s="4">
        <v>1811.84</v>
      </c>
      <c r="H43" s="4">
        <v>1479.55</v>
      </c>
      <c r="I43" s="1" t="s">
        <v>11</v>
      </c>
      <c r="J43" s="19"/>
      <c r="K43" s="9"/>
    </row>
    <row r="44" spans="1:11" x14ac:dyDescent="0.45">
      <c r="A44" s="12" t="s">
        <v>42</v>
      </c>
      <c r="B44" s="1" t="s">
        <v>43</v>
      </c>
      <c r="C44" s="1">
        <v>10</v>
      </c>
      <c r="D44" s="2">
        <v>43654</v>
      </c>
      <c r="E44" s="3"/>
      <c r="F44" s="4">
        <v>3291.39</v>
      </c>
      <c r="G44" s="4">
        <v>1481.84</v>
      </c>
      <c r="H44" s="4">
        <v>1809.55</v>
      </c>
      <c r="I44" s="1" t="s">
        <v>11</v>
      </c>
      <c r="J44" s="19"/>
      <c r="K44" s="9"/>
    </row>
    <row r="45" spans="1:11" x14ac:dyDescent="0.45">
      <c r="A45" s="12" t="s">
        <v>220</v>
      </c>
      <c r="B45" s="1" t="s">
        <v>221</v>
      </c>
      <c r="C45" s="1">
        <v>200</v>
      </c>
      <c r="D45" s="2">
        <v>43657</v>
      </c>
      <c r="E45" s="3"/>
      <c r="F45" s="4">
        <v>17355.689999999999</v>
      </c>
      <c r="G45" s="4">
        <v>17299.55</v>
      </c>
      <c r="H45" s="4">
        <v>56.14</v>
      </c>
      <c r="I45" s="1" t="s">
        <v>11</v>
      </c>
      <c r="J45" s="19"/>
      <c r="K45" s="9"/>
    </row>
    <row r="46" spans="1:11" x14ac:dyDescent="0.45">
      <c r="A46" s="12" t="s">
        <v>84</v>
      </c>
      <c r="B46" s="1" t="s">
        <v>85</v>
      </c>
      <c r="C46" s="1">
        <v>10</v>
      </c>
      <c r="D46" s="2">
        <v>43654</v>
      </c>
      <c r="E46" s="3">
        <v>43656</v>
      </c>
      <c r="F46" s="4">
        <v>1041.8499999999999</v>
      </c>
      <c r="G46" s="4">
        <v>661.84</v>
      </c>
      <c r="H46" s="4">
        <v>380.01</v>
      </c>
      <c r="I46" s="1" t="s">
        <v>11</v>
      </c>
      <c r="J46" s="19">
        <f>SUM(H46:H49)</f>
        <v>1198.71</v>
      </c>
      <c r="K46" s="9"/>
    </row>
    <row r="47" spans="1:11" x14ac:dyDescent="0.45">
      <c r="A47" s="12" t="s">
        <v>84</v>
      </c>
      <c r="B47" s="1" t="s">
        <v>85</v>
      </c>
      <c r="C47" s="1">
        <v>8</v>
      </c>
      <c r="D47" s="2">
        <v>43654</v>
      </c>
      <c r="E47" s="3"/>
      <c r="F47" s="4">
        <v>833.48</v>
      </c>
      <c r="G47" s="4">
        <v>506.46</v>
      </c>
      <c r="H47" s="4">
        <v>327.02</v>
      </c>
      <c r="I47" s="1" t="s">
        <v>11</v>
      </c>
      <c r="J47" s="19"/>
      <c r="K47" s="9"/>
    </row>
    <row r="48" spans="1:11" x14ac:dyDescent="0.45">
      <c r="A48" s="12" t="s">
        <v>84</v>
      </c>
      <c r="B48" s="1" t="s">
        <v>85</v>
      </c>
      <c r="C48" s="1">
        <v>1</v>
      </c>
      <c r="D48" s="2">
        <v>43655</v>
      </c>
      <c r="E48" s="3"/>
      <c r="F48" s="4">
        <v>104.19</v>
      </c>
      <c r="G48" s="4">
        <v>79.989999999999995</v>
      </c>
      <c r="H48" s="4">
        <v>24.2</v>
      </c>
      <c r="I48" s="1" t="s">
        <v>11</v>
      </c>
      <c r="J48" s="19"/>
      <c r="K48" s="9"/>
    </row>
    <row r="49" spans="1:11" x14ac:dyDescent="0.45">
      <c r="A49" s="12" t="s">
        <v>84</v>
      </c>
      <c r="B49" s="1" t="s">
        <v>85</v>
      </c>
      <c r="C49" s="1">
        <v>21</v>
      </c>
      <c r="D49" s="2">
        <v>43655</v>
      </c>
      <c r="E49" s="3"/>
      <c r="F49" s="4">
        <v>2187.89</v>
      </c>
      <c r="G49" s="4">
        <v>1720.41</v>
      </c>
      <c r="H49" s="4">
        <v>467.48</v>
      </c>
      <c r="I49" s="1" t="s">
        <v>11</v>
      </c>
      <c r="J49" s="19"/>
      <c r="K49" s="9"/>
    </row>
    <row r="50" spans="1:11" x14ac:dyDescent="0.45">
      <c r="A50" s="12" t="s">
        <v>200</v>
      </c>
      <c r="B50" s="1" t="s">
        <v>201</v>
      </c>
      <c r="C50" s="1">
        <v>100</v>
      </c>
      <c r="D50" s="2">
        <v>43654</v>
      </c>
      <c r="E50" s="2">
        <v>43655</v>
      </c>
      <c r="F50" s="4">
        <v>1903.01</v>
      </c>
      <c r="G50" s="4">
        <v>1829.55</v>
      </c>
      <c r="H50" s="4">
        <v>73.459999999999994</v>
      </c>
      <c r="I50" s="1" t="s">
        <v>11</v>
      </c>
      <c r="J50" s="20">
        <f>SUM(H50:H53)</f>
        <v>-185.09000000000003</v>
      </c>
      <c r="K50" s="9"/>
    </row>
    <row r="51" spans="1:11" x14ac:dyDescent="0.45">
      <c r="A51" s="12" t="s">
        <v>9</v>
      </c>
      <c r="B51" s="1" t="s">
        <v>10</v>
      </c>
      <c r="C51" s="1">
        <v>25</v>
      </c>
      <c r="D51" s="2">
        <v>43416</v>
      </c>
      <c r="E51" s="3">
        <v>43654</v>
      </c>
      <c r="F51" s="4">
        <v>4995.12</v>
      </c>
      <c r="G51" s="4">
        <v>5445.9</v>
      </c>
      <c r="H51" s="4">
        <v>-450.78</v>
      </c>
      <c r="I51" s="1" t="s">
        <v>11</v>
      </c>
      <c r="J51" s="19">
        <f>SUM(H51:H55)</f>
        <v>-44.609999999999985</v>
      </c>
      <c r="K51" s="9"/>
    </row>
    <row r="52" spans="1:11" x14ac:dyDescent="0.45">
      <c r="A52" s="12" t="s">
        <v>9</v>
      </c>
      <c r="B52" s="1" t="s">
        <v>10</v>
      </c>
      <c r="C52" s="1">
        <v>25</v>
      </c>
      <c r="D52" s="2">
        <v>43592</v>
      </c>
      <c r="E52" s="3"/>
      <c r="F52" s="4">
        <v>4995.12</v>
      </c>
      <c r="G52" s="4">
        <v>5133.5</v>
      </c>
      <c r="H52" s="4">
        <v>-138.38</v>
      </c>
      <c r="I52" s="1" t="s">
        <v>11</v>
      </c>
      <c r="J52" s="19"/>
      <c r="K52" s="9"/>
    </row>
    <row r="53" spans="1:11" x14ac:dyDescent="0.45">
      <c r="A53" s="12" t="s">
        <v>178</v>
      </c>
      <c r="B53" s="1" t="s">
        <v>179</v>
      </c>
      <c r="C53" s="1">
        <v>5</v>
      </c>
      <c r="D53" s="2">
        <v>43609</v>
      </c>
      <c r="E53" s="3"/>
      <c r="F53" s="4">
        <v>1624.05</v>
      </c>
      <c r="G53" s="4">
        <v>1293.44</v>
      </c>
      <c r="H53" s="4">
        <v>330.61</v>
      </c>
      <c r="I53" s="1" t="s">
        <v>11</v>
      </c>
      <c r="J53" s="19"/>
      <c r="K53" s="9"/>
    </row>
    <row r="54" spans="1:11" x14ac:dyDescent="0.45">
      <c r="A54" s="12" t="s">
        <v>178</v>
      </c>
      <c r="B54" s="1" t="s">
        <v>179</v>
      </c>
      <c r="C54" s="1">
        <v>5</v>
      </c>
      <c r="D54" s="2">
        <v>43636</v>
      </c>
      <c r="E54" s="3"/>
      <c r="F54" s="4">
        <v>1624.04</v>
      </c>
      <c r="G54" s="4">
        <v>1173.3900000000001</v>
      </c>
      <c r="H54" s="4">
        <v>450.65</v>
      </c>
      <c r="I54" s="1" t="s">
        <v>11</v>
      </c>
      <c r="J54" s="19"/>
      <c r="K54" s="9"/>
    </row>
    <row r="55" spans="1:11" x14ac:dyDescent="0.45">
      <c r="A55" s="12" t="s">
        <v>226</v>
      </c>
      <c r="B55" s="1" t="s">
        <v>227</v>
      </c>
      <c r="C55" s="1">
        <v>100</v>
      </c>
      <c r="D55" s="2">
        <v>43637</v>
      </c>
      <c r="E55" s="3"/>
      <c r="F55" s="4">
        <v>7551.89</v>
      </c>
      <c r="G55" s="4">
        <v>7788.6</v>
      </c>
      <c r="H55" s="4">
        <v>-236.71</v>
      </c>
      <c r="I55" s="1" t="s">
        <v>11</v>
      </c>
      <c r="J55" s="19"/>
      <c r="K55" s="9"/>
    </row>
    <row r="56" spans="1:11" x14ac:dyDescent="0.45">
      <c r="A56" s="12" t="s">
        <v>24</v>
      </c>
      <c r="B56" s="1" t="s">
        <v>25</v>
      </c>
      <c r="C56" s="1">
        <v>5</v>
      </c>
      <c r="D56" s="2">
        <v>43635</v>
      </c>
      <c r="E56" s="2">
        <v>43648</v>
      </c>
      <c r="F56" s="4">
        <v>791.59</v>
      </c>
      <c r="G56" s="4">
        <v>413.44</v>
      </c>
      <c r="H56" s="4">
        <v>378.15</v>
      </c>
      <c r="I56" s="1" t="s">
        <v>11</v>
      </c>
      <c r="J56" s="20">
        <f>SUM(H56)</f>
        <v>378.15</v>
      </c>
      <c r="K56" s="9"/>
    </row>
    <row r="57" spans="1:11" x14ac:dyDescent="0.45">
      <c r="A57" s="12" t="s">
        <v>22</v>
      </c>
      <c r="B57" s="1" t="s">
        <v>23</v>
      </c>
      <c r="C57" s="1">
        <v>5</v>
      </c>
      <c r="D57" s="2">
        <v>43609</v>
      </c>
      <c r="E57" s="3">
        <v>43647</v>
      </c>
      <c r="F57" s="4">
        <v>1016.58</v>
      </c>
      <c r="G57" s="4">
        <v>808.39</v>
      </c>
      <c r="H57" s="4">
        <v>208.19</v>
      </c>
      <c r="I57" s="1" t="s">
        <v>11</v>
      </c>
      <c r="J57" s="19">
        <f>SUM(H57:H58)</f>
        <v>682.46</v>
      </c>
      <c r="K57" s="9"/>
    </row>
    <row r="58" spans="1:11" ht="14.65" thickBot="1" x14ac:dyDescent="0.5">
      <c r="A58" s="13" t="s">
        <v>44</v>
      </c>
      <c r="B58" s="14" t="s">
        <v>45</v>
      </c>
      <c r="C58" s="14">
        <v>2</v>
      </c>
      <c r="D58" s="15">
        <v>43637</v>
      </c>
      <c r="E58" s="16"/>
      <c r="F58" s="17">
        <v>628.6</v>
      </c>
      <c r="G58" s="17">
        <v>154.33000000000001</v>
      </c>
      <c r="H58" s="17">
        <v>474.27</v>
      </c>
      <c r="I58" s="14" t="s">
        <v>11</v>
      </c>
      <c r="J58" s="21"/>
      <c r="K58" s="9"/>
    </row>
    <row r="59" spans="1:11" x14ac:dyDescent="0.45">
      <c r="A59" s="6"/>
      <c r="B59" s="6"/>
      <c r="C59" s="6"/>
      <c r="D59" s="7"/>
      <c r="E59" s="7"/>
      <c r="F59" s="8"/>
      <c r="G59" s="8"/>
      <c r="H59" s="8"/>
      <c r="I59" s="6"/>
      <c r="J59" s="22"/>
    </row>
    <row r="60" spans="1:11" x14ac:dyDescent="0.45">
      <c r="D60" s="2"/>
      <c r="E60" s="2"/>
      <c r="F60" s="4"/>
      <c r="G60" s="4"/>
      <c r="H60" s="4"/>
      <c r="J60" s="23"/>
    </row>
    <row r="61" spans="1:11" x14ac:dyDescent="0.45">
      <c r="D61" s="2"/>
      <c r="E61" s="2"/>
      <c r="F61" s="4"/>
      <c r="G61" s="4"/>
      <c r="H61" s="4"/>
    </row>
    <row r="62" spans="1:11" x14ac:dyDescent="0.45">
      <c r="D62" s="2"/>
      <c r="E62" s="2"/>
      <c r="F62" s="4"/>
      <c r="G62" s="4"/>
      <c r="H62" s="4"/>
    </row>
    <row r="63" spans="1:11" x14ac:dyDescent="0.45">
      <c r="D63" s="2"/>
      <c r="E63" s="2"/>
      <c r="F63" s="4"/>
      <c r="G63" s="4"/>
      <c r="H63" s="4"/>
    </row>
    <row r="64" spans="1:11" x14ac:dyDescent="0.45">
      <c r="D64" s="2"/>
      <c r="E64" s="2"/>
      <c r="F64" s="4"/>
      <c r="G64" s="4"/>
      <c r="H64" s="4"/>
    </row>
    <row r="65" spans="4:8" x14ac:dyDescent="0.45">
      <c r="D65" s="2"/>
      <c r="E65" s="2"/>
      <c r="F65" s="4"/>
      <c r="G65" s="4"/>
      <c r="H65" s="4"/>
    </row>
    <row r="66" spans="4:8" x14ac:dyDescent="0.45">
      <c r="D66" s="2"/>
      <c r="E66" s="2"/>
      <c r="F66" s="4"/>
      <c r="G66" s="4"/>
      <c r="H66" s="4"/>
    </row>
    <row r="67" spans="4:8" x14ac:dyDescent="0.45">
      <c r="D67" s="2"/>
      <c r="E67" s="2"/>
      <c r="F67" s="4"/>
      <c r="G67" s="4"/>
      <c r="H67" s="4"/>
    </row>
    <row r="68" spans="4:8" x14ac:dyDescent="0.45">
      <c r="D68" s="2"/>
      <c r="E68" s="2"/>
      <c r="F68" s="4"/>
      <c r="G68" s="4"/>
      <c r="H68" s="4"/>
    </row>
    <row r="69" spans="4:8" x14ac:dyDescent="0.45">
      <c r="D69" s="2"/>
      <c r="E69" s="2"/>
      <c r="F69" s="4"/>
      <c r="G69" s="4"/>
      <c r="H69" s="4"/>
    </row>
    <row r="70" spans="4:8" x14ac:dyDescent="0.45">
      <c r="D70" s="2"/>
      <c r="E70" s="2"/>
      <c r="F70" s="4"/>
      <c r="G70" s="4"/>
      <c r="H70" s="4"/>
    </row>
    <row r="71" spans="4:8" x14ac:dyDescent="0.45">
      <c r="D71" s="2"/>
      <c r="E71" s="2"/>
      <c r="F71" s="4"/>
      <c r="G71" s="4"/>
      <c r="H71" s="4"/>
    </row>
    <row r="72" spans="4:8" x14ac:dyDescent="0.45">
      <c r="D72" s="2"/>
      <c r="E72" s="2"/>
      <c r="F72" s="4"/>
      <c r="G72" s="4"/>
      <c r="H72" s="4"/>
    </row>
    <row r="73" spans="4:8" x14ac:dyDescent="0.45">
      <c r="D73" s="2"/>
      <c r="E73" s="2"/>
      <c r="F73" s="4"/>
      <c r="G73" s="4"/>
      <c r="H73" s="4"/>
    </row>
    <row r="74" spans="4:8" x14ac:dyDescent="0.45">
      <c r="D74" s="2"/>
      <c r="E74" s="2"/>
      <c r="F74" s="4"/>
      <c r="G74" s="4"/>
      <c r="H74" s="4"/>
    </row>
    <row r="75" spans="4:8" x14ac:dyDescent="0.45">
      <c r="D75" s="2"/>
      <c r="E75" s="2"/>
      <c r="F75" s="4"/>
      <c r="G75" s="4"/>
      <c r="H75" s="4"/>
    </row>
    <row r="76" spans="4:8" x14ac:dyDescent="0.45">
      <c r="D76" s="2"/>
      <c r="E76" s="2"/>
      <c r="F76" s="4"/>
      <c r="G76" s="4"/>
      <c r="H76" s="4"/>
    </row>
    <row r="77" spans="4:8" x14ac:dyDescent="0.45">
      <c r="D77" s="2"/>
      <c r="E77" s="2"/>
      <c r="F77" s="4"/>
      <c r="G77" s="4"/>
      <c r="H77" s="4"/>
    </row>
    <row r="78" spans="4:8" x14ac:dyDescent="0.45">
      <c r="D78" s="2"/>
      <c r="E78" s="2"/>
      <c r="F78" s="4"/>
      <c r="G78" s="4"/>
      <c r="H78" s="4"/>
    </row>
    <row r="79" spans="4:8" x14ac:dyDescent="0.45">
      <c r="D79" s="2"/>
      <c r="E79" s="2"/>
      <c r="F79" s="4"/>
      <c r="G79" s="4"/>
      <c r="H79" s="4"/>
    </row>
    <row r="80" spans="4:8" x14ac:dyDescent="0.45">
      <c r="D80" s="2"/>
      <c r="E80" s="2"/>
      <c r="F80" s="4"/>
      <c r="G80" s="4"/>
      <c r="H80" s="4"/>
    </row>
    <row r="81" spans="4:8" x14ac:dyDescent="0.45">
      <c r="D81" s="2"/>
      <c r="E81" s="2"/>
      <c r="F81" s="4"/>
      <c r="G81" s="4"/>
      <c r="H81" s="4"/>
    </row>
    <row r="82" spans="4:8" x14ac:dyDescent="0.45">
      <c r="D82" s="2"/>
      <c r="E82" s="2"/>
      <c r="F82" s="4"/>
      <c r="G82" s="4"/>
      <c r="H82" s="4"/>
    </row>
    <row r="83" spans="4:8" x14ac:dyDescent="0.45">
      <c r="D83" s="2"/>
      <c r="E83" s="2"/>
      <c r="F83" s="4"/>
      <c r="G83" s="4"/>
      <c r="H83" s="4"/>
    </row>
    <row r="84" spans="4:8" x14ac:dyDescent="0.45">
      <c r="D84" s="2"/>
      <c r="E84" s="2"/>
      <c r="F84" s="4"/>
      <c r="G84" s="4"/>
      <c r="H84" s="4"/>
    </row>
    <row r="85" spans="4:8" x14ac:dyDescent="0.45">
      <c r="D85" s="2"/>
      <c r="E85" s="2"/>
      <c r="F85" s="4"/>
      <c r="G85" s="4"/>
      <c r="H85" s="4"/>
    </row>
    <row r="86" spans="4:8" x14ac:dyDescent="0.45">
      <c r="D86" s="2"/>
      <c r="E86" s="2"/>
      <c r="F86" s="4"/>
      <c r="G86" s="4"/>
      <c r="H86" s="4"/>
    </row>
    <row r="87" spans="4:8" x14ac:dyDescent="0.45">
      <c r="D87" s="2"/>
      <c r="E87" s="2"/>
      <c r="F87" s="4"/>
      <c r="G87" s="4"/>
      <c r="H87" s="4"/>
    </row>
    <row r="88" spans="4:8" x14ac:dyDescent="0.45">
      <c r="D88" s="2"/>
      <c r="E88" s="2"/>
      <c r="F88" s="4"/>
      <c r="G88" s="4"/>
      <c r="H88" s="4"/>
    </row>
    <row r="89" spans="4:8" x14ac:dyDescent="0.45">
      <c r="D89" s="2"/>
      <c r="E89" s="2"/>
      <c r="F89" s="4"/>
      <c r="G89" s="4"/>
      <c r="H89" s="4"/>
    </row>
    <row r="90" spans="4:8" x14ac:dyDescent="0.45">
      <c r="D90" s="2"/>
      <c r="E90" s="2"/>
      <c r="F90" s="4"/>
      <c r="G90" s="4"/>
      <c r="H90" s="4"/>
    </row>
    <row r="91" spans="4:8" x14ac:dyDescent="0.45">
      <c r="D91" s="2"/>
      <c r="E91" s="2"/>
      <c r="F91" s="4"/>
      <c r="G91" s="4"/>
      <c r="H91" s="4"/>
    </row>
    <row r="92" spans="4:8" x14ac:dyDescent="0.45">
      <c r="D92" s="2"/>
      <c r="E92" s="2"/>
      <c r="F92" s="4"/>
      <c r="G92" s="4"/>
      <c r="H92" s="4"/>
    </row>
    <row r="93" spans="4:8" x14ac:dyDescent="0.45">
      <c r="D93" s="2"/>
      <c r="E93" s="2"/>
      <c r="F93" s="4"/>
      <c r="G93" s="4"/>
      <c r="H93" s="4"/>
    </row>
    <row r="94" spans="4:8" x14ac:dyDescent="0.45">
      <c r="D94" s="2"/>
      <c r="E94" s="2"/>
      <c r="F94" s="4"/>
      <c r="G94" s="4"/>
      <c r="H94" s="4"/>
    </row>
    <row r="95" spans="4:8" x14ac:dyDescent="0.45">
      <c r="D95" s="2"/>
      <c r="E95" s="2"/>
      <c r="F95" s="4"/>
      <c r="G95" s="4"/>
      <c r="H95" s="4"/>
    </row>
    <row r="96" spans="4:8" x14ac:dyDescent="0.45">
      <c r="D96" s="2"/>
      <c r="E96" s="2"/>
      <c r="F96" s="4"/>
      <c r="G96" s="4"/>
      <c r="H96" s="4"/>
    </row>
    <row r="97" spans="4:8" x14ac:dyDescent="0.45">
      <c r="D97" s="2"/>
      <c r="E97" s="2"/>
      <c r="F97" s="4"/>
      <c r="G97" s="4"/>
      <c r="H97" s="4"/>
    </row>
    <row r="98" spans="4:8" x14ac:dyDescent="0.45">
      <c r="D98" s="2"/>
      <c r="E98" s="2"/>
      <c r="F98" s="4"/>
      <c r="G98" s="4"/>
      <c r="H98" s="4"/>
    </row>
    <row r="99" spans="4:8" x14ac:dyDescent="0.45">
      <c r="D99" s="2"/>
      <c r="E99" s="2"/>
      <c r="F99" s="4"/>
      <c r="G99" s="4"/>
      <c r="H99" s="4"/>
    </row>
    <row r="100" spans="4:8" x14ac:dyDescent="0.45">
      <c r="D100" s="2"/>
      <c r="E100" s="2"/>
      <c r="F100" s="4"/>
      <c r="G100" s="4"/>
      <c r="H100" s="4"/>
    </row>
    <row r="101" spans="4:8" x14ac:dyDescent="0.45">
      <c r="D101" s="2"/>
      <c r="E101" s="2"/>
      <c r="F101" s="4"/>
      <c r="G101" s="4"/>
      <c r="H101" s="4"/>
    </row>
    <row r="102" spans="4:8" x14ac:dyDescent="0.45">
      <c r="D102" s="2"/>
      <c r="E102" s="2"/>
      <c r="F102" s="4"/>
      <c r="G102" s="4"/>
      <c r="H102" s="4"/>
    </row>
    <row r="103" spans="4:8" x14ac:dyDescent="0.45">
      <c r="D103" s="2"/>
      <c r="E103" s="2"/>
      <c r="F103" s="4"/>
      <c r="G103" s="4"/>
      <c r="H103" s="4"/>
    </row>
    <row r="104" spans="4:8" x14ac:dyDescent="0.45">
      <c r="D104" s="2"/>
      <c r="E104" s="2"/>
      <c r="F104" s="4"/>
      <c r="G104" s="4"/>
      <c r="H104" s="4"/>
    </row>
    <row r="105" spans="4:8" x14ac:dyDescent="0.45">
      <c r="D105" s="2"/>
      <c r="E105" s="2"/>
      <c r="F105" s="4"/>
      <c r="G105" s="4"/>
      <c r="H105" s="4"/>
    </row>
    <row r="106" spans="4:8" x14ac:dyDescent="0.45">
      <c r="D106" s="2"/>
      <c r="E106" s="2"/>
      <c r="F106" s="4"/>
      <c r="G106" s="4"/>
      <c r="H106" s="4"/>
    </row>
    <row r="107" spans="4:8" x14ac:dyDescent="0.45">
      <c r="D107" s="2"/>
      <c r="E107" s="2"/>
      <c r="F107" s="4"/>
      <c r="G107" s="4"/>
      <c r="H107" s="4"/>
    </row>
    <row r="108" spans="4:8" x14ac:dyDescent="0.45">
      <c r="D108" s="2"/>
      <c r="E108" s="2"/>
      <c r="F108" s="4"/>
      <c r="G108" s="4"/>
      <c r="H108" s="4"/>
    </row>
    <row r="109" spans="4:8" x14ac:dyDescent="0.45">
      <c r="D109" s="2"/>
      <c r="E109" s="2"/>
      <c r="F109" s="4"/>
      <c r="G109" s="4"/>
      <c r="H109" s="4"/>
    </row>
    <row r="110" spans="4:8" x14ac:dyDescent="0.45">
      <c r="D110" s="2"/>
      <c r="E110" s="2"/>
      <c r="F110" s="4"/>
      <c r="G110" s="4"/>
      <c r="H110" s="4"/>
    </row>
    <row r="111" spans="4:8" x14ac:dyDescent="0.45">
      <c r="D111" s="2"/>
      <c r="E111" s="2"/>
      <c r="F111" s="4"/>
      <c r="G111" s="4"/>
      <c r="H111" s="4"/>
    </row>
    <row r="112" spans="4:8" x14ac:dyDescent="0.45">
      <c r="D112" s="2"/>
      <c r="E112" s="2"/>
      <c r="F112" s="4"/>
      <c r="G112" s="4"/>
      <c r="H112" s="4"/>
    </row>
    <row r="113" spans="4:8" x14ac:dyDescent="0.45">
      <c r="D113" s="2"/>
      <c r="E113" s="2"/>
      <c r="F113" s="4"/>
      <c r="G113" s="4"/>
      <c r="H113" s="4"/>
    </row>
    <row r="114" spans="4:8" x14ac:dyDescent="0.45">
      <c r="D114" s="2"/>
      <c r="E114" s="2"/>
      <c r="F114" s="4"/>
      <c r="G114" s="4"/>
      <c r="H114" s="4"/>
    </row>
    <row r="115" spans="4:8" x14ac:dyDescent="0.45">
      <c r="D115" s="2"/>
      <c r="E115" s="2"/>
      <c r="F115" s="4"/>
      <c r="G115" s="4"/>
      <c r="H115" s="4"/>
    </row>
    <row r="116" spans="4:8" x14ac:dyDescent="0.45">
      <c r="D116" s="2"/>
      <c r="E116" s="2"/>
      <c r="F116" s="4"/>
      <c r="G116" s="4"/>
      <c r="H116" s="4"/>
    </row>
    <row r="117" spans="4:8" x14ac:dyDescent="0.45">
      <c r="D117" s="2"/>
      <c r="E117" s="2"/>
      <c r="F117" s="4"/>
      <c r="G117" s="4"/>
      <c r="H117" s="4"/>
    </row>
    <row r="118" spans="4:8" x14ac:dyDescent="0.45">
      <c r="D118" s="2"/>
      <c r="E118" s="2"/>
      <c r="F118" s="4"/>
      <c r="G118" s="4"/>
      <c r="H118" s="4"/>
    </row>
    <row r="119" spans="4:8" x14ac:dyDescent="0.45">
      <c r="D119" s="2"/>
      <c r="E119" s="2"/>
      <c r="F119" s="4"/>
      <c r="G119" s="4"/>
      <c r="H119" s="4"/>
    </row>
    <row r="120" spans="4:8" x14ac:dyDescent="0.45">
      <c r="D120" s="2"/>
      <c r="E120" s="2"/>
      <c r="F120" s="4"/>
      <c r="G120" s="4"/>
      <c r="H120" s="4"/>
    </row>
    <row r="121" spans="4:8" x14ac:dyDescent="0.45">
      <c r="D121" s="2"/>
      <c r="E121" s="2"/>
      <c r="F121" s="4"/>
      <c r="G121" s="4"/>
      <c r="H121" s="4"/>
    </row>
    <row r="122" spans="4:8" x14ac:dyDescent="0.45">
      <c r="D122" s="2"/>
      <c r="E122" s="2"/>
      <c r="F122" s="4"/>
      <c r="G122" s="4"/>
      <c r="H122" s="4"/>
    </row>
    <row r="123" spans="4:8" x14ac:dyDescent="0.45">
      <c r="D123" s="2"/>
      <c r="E123" s="2"/>
      <c r="F123" s="4"/>
      <c r="G123" s="4"/>
      <c r="H123" s="4"/>
    </row>
    <row r="124" spans="4:8" x14ac:dyDescent="0.45">
      <c r="D124" s="2"/>
      <c r="E124" s="2"/>
      <c r="F124" s="4"/>
      <c r="G124" s="4"/>
      <c r="H124" s="4"/>
    </row>
    <row r="125" spans="4:8" x14ac:dyDescent="0.45">
      <c r="D125" s="2"/>
      <c r="E125" s="2"/>
      <c r="F125" s="4"/>
      <c r="G125" s="4"/>
      <c r="H125" s="4"/>
    </row>
    <row r="126" spans="4:8" x14ac:dyDescent="0.45">
      <c r="D126" s="2"/>
      <c r="E126" s="2"/>
      <c r="F126" s="4"/>
      <c r="G126" s="4"/>
      <c r="H126" s="4"/>
    </row>
    <row r="127" spans="4:8" x14ac:dyDescent="0.45">
      <c r="D127" s="2"/>
      <c r="E127" s="2"/>
      <c r="F127" s="4"/>
      <c r="G127" s="4"/>
      <c r="H127" s="4"/>
    </row>
    <row r="128" spans="4:8" x14ac:dyDescent="0.45">
      <c r="D128" s="2"/>
      <c r="E128" s="2"/>
      <c r="F128" s="4"/>
      <c r="G128" s="4"/>
      <c r="H128" s="4"/>
    </row>
    <row r="129" spans="4:8" x14ac:dyDescent="0.45">
      <c r="D129" s="2"/>
      <c r="E129" s="2"/>
      <c r="F129" s="4"/>
      <c r="G129" s="4"/>
      <c r="H129" s="4"/>
    </row>
    <row r="130" spans="4:8" x14ac:dyDescent="0.45">
      <c r="D130" s="2"/>
      <c r="E130" s="2"/>
      <c r="F130" s="4"/>
      <c r="G130" s="4"/>
      <c r="H130" s="4"/>
    </row>
    <row r="131" spans="4:8" x14ac:dyDescent="0.45">
      <c r="D131" s="2"/>
      <c r="E131" s="2"/>
      <c r="F131" s="4"/>
      <c r="G131" s="4"/>
      <c r="H131" s="4"/>
    </row>
    <row r="132" spans="4:8" x14ac:dyDescent="0.45">
      <c r="D132" s="2"/>
      <c r="E132" s="2"/>
      <c r="F132" s="4"/>
      <c r="G132" s="4"/>
      <c r="H132" s="4"/>
    </row>
    <row r="133" spans="4:8" x14ac:dyDescent="0.45">
      <c r="D133" s="2"/>
      <c r="E133" s="2"/>
      <c r="F133" s="4"/>
      <c r="G133" s="4"/>
      <c r="H133" s="4"/>
    </row>
    <row r="134" spans="4:8" x14ac:dyDescent="0.45">
      <c r="D134" s="2"/>
      <c r="E134" s="2"/>
      <c r="F134" s="4"/>
      <c r="G134" s="4"/>
      <c r="H134" s="4"/>
    </row>
    <row r="135" spans="4:8" x14ac:dyDescent="0.45">
      <c r="D135" s="2"/>
      <c r="E135" s="2"/>
      <c r="F135" s="4"/>
      <c r="G135" s="4"/>
      <c r="H135" s="4"/>
    </row>
    <row r="136" spans="4:8" x14ac:dyDescent="0.45">
      <c r="D136" s="2"/>
      <c r="E136" s="2"/>
      <c r="F136" s="4"/>
      <c r="G136" s="4"/>
      <c r="H136" s="4"/>
    </row>
    <row r="137" spans="4:8" x14ac:dyDescent="0.45">
      <c r="D137" s="2"/>
      <c r="E137" s="2"/>
      <c r="F137" s="4"/>
      <c r="G137" s="4"/>
      <c r="H137" s="4"/>
    </row>
    <row r="138" spans="4:8" x14ac:dyDescent="0.45">
      <c r="D138" s="2"/>
      <c r="E138" s="2"/>
      <c r="F138" s="4"/>
      <c r="G138" s="4"/>
      <c r="H138" s="4"/>
    </row>
    <row r="139" spans="4:8" x14ac:dyDescent="0.45">
      <c r="D139" s="2"/>
      <c r="E139" s="2"/>
      <c r="F139" s="4"/>
      <c r="G139" s="4"/>
      <c r="H139" s="4"/>
    </row>
    <row r="140" spans="4:8" x14ac:dyDescent="0.45">
      <c r="D140" s="2"/>
      <c r="E140" s="2"/>
      <c r="F140" s="4"/>
      <c r="G140" s="4"/>
      <c r="H140" s="4"/>
    </row>
    <row r="141" spans="4:8" x14ac:dyDescent="0.45">
      <c r="D141" s="2"/>
      <c r="E141" s="2"/>
      <c r="F141" s="4"/>
      <c r="G141" s="4"/>
      <c r="H141" s="4"/>
    </row>
    <row r="142" spans="4:8" x14ac:dyDescent="0.45">
      <c r="D142" s="2"/>
      <c r="E142" s="2"/>
      <c r="F142" s="4"/>
      <c r="G142" s="4"/>
      <c r="H142" s="4"/>
    </row>
    <row r="143" spans="4:8" x14ac:dyDescent="0.45">
      <c r="D143" s="2"/>
      <c r="E143" s="2"/>
      <c r="F143" s="4"/>
      <c r="G143" s="4"/>
      <c r="H143" s="4"/>
    </row>
    <row r="144" spans="4:8" x14ac:dyDescent="0.45">
      <c r="D144" s="2"/>
      <c r="E144" s="2"/>
      <c r="F144" s="4"/>
      <c r="G144" s="4"/>
      <c r="H144" s="4"/>
    </row>
    <row r="145" spans="4:8" x14ac:dyDescent="0.45">
      <c r="D145" s="2"/>
      <c r="E145" s="2"/>
      <c r="F145" s="4"/>
      <c r="G145" s="4"/>
      <c r="H145" s="4"/>
    </row>
    <row r="146" spans="4:8" x14ac:dyDescent="0.45">
      <c r="D146" s="2"/>
      <c r="E146" s="2"/>
      <c r="F146" s="4"/>
      <c r="G146" s="4"/>
      <c r="H146" s="4"/>
    </row>
    <row r="147" spans="4:8" x14ac:dyDescent="0.45">
      <c r="D147" s="2"/>
      <c r="E147" s="2"/>
      <c r="F147" s="4"/>
      <c r="G147" s="4"/>
      <c r="H147" s="4"/>
    </row>
    <row r="148" spans="4:8" x14ac:dyDescent="0.45">
      <c r="D148" s="2"/>
      <c r="E148" s="2"/>
      <c r="F148" s="4"/>
      <c r="G148" s="4"/>
      <c r="H148" s="4"/>
    </row>
    <row r="149" spans="4:8" x14ac:dyDescent="0.45">
      <c r="D149" s="2"/>
      <c r="E149" s="2"/>
      <c r="F149" s="4"/>
      <c r="G149" s="4"/>
      <c r="H149" s="4"/>
    </row>
    <row r="150" spans="4:8" x14ac:dyDescent="0.45">
      <c r="D150" s="2"/>
      <c r="E150" s="2"/>
      <c r="F150" s="4"/>
      <c r="G150" s="4"/>
      <c r="H150" s="4"/>
    </row>
    <row r="151" spans="4:8" x14ac:dyDescent="0.45">
      <c r="D151" s="2"/>
      <c r="E151" s="2"/>
      <c r="F151" s="4"/>
      <c r="G151" s="4"/>
      <c r="H151" s="4"/>
    </row>
    <row r="152" spans="4:8" x14ac:dyDescent="0.45">
      <c r="D152" s="2"/>
      <c r="E152" s="2"/>
      <c r="F152" s="4"/>
      <c r="G152" s="4"/>
      <c r="H152" s="4"/>
    </row>
    <row r="153" spans="4:8" x14ac:dyDescent="0.45">
      <c r="D153" s="2"/>
      <c r="E153" s="2"/>
      <c r="F153" s="4"/>
      <c r="G153" s="4"/>
      <c r="H153" s="4"/>
    </row>
    <row r="154" spans="4:8" x14ac:dyDescent="0.45">
      <c r="D154" s="2"/>
      <c r="E154" s="2"/>
      <c r="F154" s="4"/>
      <c r="G154" s="4"/>
      <c r="H154" s="4"/>
    </row>
    <row r="155" spans="4:8" x14ac:dyDescent="0.45">
      <c r="D155" s="2"/>
      <c r="E155" s="2"/>
      <c r="F155" s="4"/>
      <c r="G155" s="4"/>
      <c r="H155" s="4"/>
    </row>
    <row r="156" spans="4:8" x14ac:dyDescent="0.45">
      <c r="D156" s="2"/>
      <c r="E156" s="2"/>
      <c r="F156" s="4"/>
      <c r="G156" s="4"/>
      <c r="H156" s="4"/>
    </row>
    <row r="157" spans="4:8" x14ac:dyDescent="0.45">
      <c r="D157" s="2"/>
      <c r="E157" s="2"/>
      <c r="F157" s="4"/>
      <c r="G157" s="4"/>
      <c r="H157" s="4"/>
    </row>
    <row r="158" spans="4:8" x14ac:dyDescent="0.45">
      <c r="D158" s="2"/>
      <c r="E158" s="2"/>
      <c r="F158" s="4"/>
      <c r="G158" s="4"/>
      <c r="H158" s="4"/>
    </row>
    <row r="159" spans="4:8" x14ac:dyDescent="0.45">
      <c r="D159" s="2"/>
      <c r="E159" s="2"/>
      <c r="F159" s="4"/>
      <c r="G159" s="4"/>
      <c r="H159" s="4"/>
    </row>
    <row r="160" spans="4:8" x14ac:dyDescent="0.45">
      <c r="D160" s="2"/>
      <c r="E160" s="2"/>
      <c r="F160" s="4"/>
      <c r="G160" s="4"/>
      <c r="H160" s="4"/>
    </row>
    <row r="161" spans="4:8" x14ac:dyDescent="0.45">
      <c r="D161" s="2"/>
      <c r="E161" s="2"/>
      <c r="F161" s="4"/>
      <c r="G161" s="4"/>
      <c r="H161" s="4"/>
    </row>
    <row r="162" spans="4:8" x14ac:dyDescent="0.45">
      <c r="D162" s="2"/>
      <c r="E162" s="2"/>
      <c r="F162" s="4"/>
      <c r="G162" s="4"/>
      <c r="H162" s="4"/>
    </row>
    <row r="163" spans="4:8" x14ac:dyDescent="0.45">
      <c r="D163" s="2"/>
      <c r="E163" s="2"/>
      <c r="F163" s="4"/>
      <c r="G163" s="4"/>
      <c r="H163" s="4"/>
    </row>
    <row r="164" spans="4:8" x14ac:dyDescent="0.45">
      <c r="D164" s="2"/>
      <c r="E164" s="2"/>
      <c r="F164" s="4"/>
      <c r="G164" s="4"/>
      <c r="H164" s="4"/>
    </row>
    <row r="165" spans="4:8" x14ac:dyDescent="0.45">
      <c r="D165" s="2"/>
      <c r="E165" s="2"/>
      <c r="F165" s="4"/>
      <c r="G165" s="4"/>
      <c r="H165" s="4"/>
    </row>
    <row r="166" spans="4:8" x14ac:dyDescent="0.45">
      <c r="D166" s="2"/>
      <c r="E166" s="2"/>
      <c r="F166" s="4"/>
      <c r="G166" s="4"/>
      <c r="H166" s="4"/>
    </row>
    <row r="167" spans="4:8" x14ac:dyDescent="0.45">
      <c r="D167" s="2"/>
      <c r="E167" s="2"/>
      <c r="F167" s="4"/>
      <c r="G167" s="4"/>
      <c r="H167" s="4"/>
    </row>
    <row r="168" spans="4:8" x14ac:dyDescent="0.45">
      <c r="D168" s="2"/>
      <c r="E168" s="2"/>
      <c r="F168" s="4"/>
      <c r="G168" s="4"/>
      <c r="H168" s="4"/>
    </row>
    <row r="169" spans="4:8" x14ac:dyDescent="0.45">
      <c r="D169" s="2"/>
      <c r="E169" s="2"/>
      <c r="F169" s="4"/>
      <c r="G169" s="4"/>
      <c r="H169" s="4"/>
    </row>
    <row r="170" spans="4:8" x14ac:dyDescent="0.45">
      <c r="D170" s="2"/>
      <c r="E170" s="2"/>
      <c r="F170" s="4"/>
      <c r="G170" s="4"/>
      <c r="H170" s="4"/>
    </row>
    <row r="171" spans="4:8" x14ac:dyDescent="0.45">
      <c r="D171" s="2"/>
      <c r="E171" s="2"/>
      <c r="F171" s="4"/>
      <c r="G171" s="4"/>
      <c r="H171" s="4"/>
    </row>
    <row r="172" spans="4:8" x14ac:dyDescent="0.45">
      <c r="D172" s="2"/>
      <c r="E172" s="2"/>
      <c r="F172" s="4"/>
      <c r="G172" s="4"/>
      <c r="H172" s="4"/>
    </row>
    <row r="173" spans="4:8" x14ac:dyDescent="0.45">
      <c r="D173" s="2"/>
      <c r="E173" s="2"/>
      <c r="F173" s="4"/>
      <c r="G173" s="4"/>
      <c r="H173" s="4"/>
    </row>
    <row r="174" spans="4:8" x14ac:dyDescent="0.45">
      <c r="D174" s="2"/>
      <c r="E174" s="2"/>
      <c r="F174" s="4"/>
      <c r="G174" s="4"/>
      <c r="H174" s="4"/>
    </row>
    <row r="175" spans="4:8" x14ac:dyDescent="0.45">
      <c r="D175" s="2"/>
      <c r="E175" s="2"/>
      <c r="F175" s="4"/>
      <c r="G175" s="4"/>
      <c r="H175" s="4"/>
    </row>
    <row r="176" spans="4:8" x14ac:dyDescent="0.45">
      <c r="D176" s="2"/>
      <c r="E176" s="2"/>
      <c r="F176" s="4"/>
      <c r="G176" s="4"/>
      <c r="H176" s="4"/>
    </row>
    <row r="177" spans="4:8" x14ac:dyDescent="0.45">
      <c r="D177" s="2"/>
      <c r="E177" s="2"/>
      <c r="F177" s="4"/>
      <c r="G177" s="4"/>
      <c r="H177" s="4"/>
    </row>
    <row r="178" spans="4:8" x14ac:dyDescent="0.45">
      <c r="D178" s="2"/>
      <c r="E178" s="2"/>
      <c r="F178" s="4"/>
      <c r="G178" s="4"/>
      <c r="H178" s="4"/>
    </row>
    <row r="179" spans="4:8" x14ac:dyDescent="0.45">
      <c r="D179" s="2"/>
      <c r="E179" s="2"/>
      <c r="F179" s="4"/>
      <c r="G179" s="4"/>
      <c r="H179" s="4"/>
    </row>
    <row r="180" spans="4:8" x14ac:dyDescent="0.45">
      <c r="D180" s="2"/>
      <c r="E180" s="2"/>
      <c r="F180" s="4"/>
      <c r="G180" s="4"/>
      <c r="H180" s="4"/>
    </row>
    <row r="181" spans="4:8" x14ac:dyDescent="0.45">
      <c r="D181" s="2"/>
      <c r="E181" s="2"/>
      <c r="F181" s="4"/>
      <c r="G181" s="4"/>
      <c r="H181" s="4"/>
    </row>
    <row r="182" spans="4:8" x14ac:dyDescent="0.45">
      <c r="D182" s="2"/>
      <c r="E182" s="2"/>
      <c r="F182" s="4"/>
      <c r="G182" s="4"/>
      <c r="H182" s="4"/>
    </row>
    <row r="183" spans="4:8" x14ac:dyDescent="0.45">
      <c r="D183" s="2"/>
      <c r="E183" s="2"/>
      <c r="F183" s="4"/>
      <c r="G183" s="4"/>
      <c r="H183" s="4"/>
    </row>
    <row r="184" spans="4:8" x14ac:dyDescent="0.45">
      <c r="D184" s="2"/>
      <c r="E184" s="2"/>
      <c r="F184" s="4"/>
      <c r="G184" s="4"/>
      <c r="H184" s="4"/>
    </row>
    <row r="185" spans="4:8" x14ac:dyDescent="0.45">
      <c r="D185" s="2"/>
      <c r="E185" s="2"/>
      <c r="F185" s="4"/>
      <c r="G185" s="4"/>
      <c r="H185" s="4"/>
    </row>
    <row r="186" spans="4:8" x14ac:dyDescent="0.45">
      <c r="D186" s="2"/>
      <c r="E186" s="2"/>
      <c r="F186" s="4"/>
      <c r="G186" s="4"/>
      <c r="H186" s="4"/>
    </row>
    <row r="187" spans="4:8" x14ac:dyDescent="0.45">
      <c r="D187" s="2"/>
      <c r="E187" s="2"/>
      <c r="F187" s="4"/>
      <c r="G187" s="4"/>
      <c r="H187" s="4"/>
    </row>
    <row r="188" spans="4:8" x14ac:dyDescent="0.45">
      <c r="D188" s="2"/>
      <c r="E188" s="2"/>
      <c r="F188" s="4"/>
      <c r="G188" s="4"/>
      <c r="H188" s="4"/>
    </row>
    <row r="189" spans="4:8" x14ac:dyDescent="0.45">
      <c r="D189" s="2"/>
      <c r="E189" s="2"/>
      <c r="F189" s="4"/>
      <c r="G189" s="4"/>
      <c r="H189" s="4"/>
    </row>
    <row r="190" spans="4:8" x14ac:dyDescent="0.45">
      <c r="D190" s="2"/>
      <c r="E190" s="2"/>
      <c r="F190" s="4"/>
      <c r="G190" s="4"/>
      <c r="H190" s="4"/>
    </row>
    <row r="191" spans="4:8" x14ac:dyDescent="0.45">
      <c r="D191" s="2"/>
      <c r="E191" s="2"/>
      <c r="F191" s="4"/>
      <c r="G191" s="4"/>
      <c r="H191" s="4"/>
    </row>
    <row r="192" spans="4:8" x14ac:dyDescent="0.45">
      <c r="D192" s="2"/>
      <c r="E192" s="2"/>
      <c r="F192" s="4"/>
      <c r="G192" s="4"/>
      <c r="H192" s="4"/>
    </row>
    <row r="193" spans="4:8" x14ac:dyDescent="0.45">
      <c r="D193" s="2"/>
      <c r="E193" s="2"/>
      <c r="F193" s="4"/>
      <c r="G193" s="4"/>
      <c r="H193" s="4"/>
    </row>
    <row r="194" spans="4:8" x14ac:dyDescent="0.45">
      <c r="D194" s="2"/>
      <c r="E194" s="2"/>
      <c r="F194" s="4"/>
      <c r="G194" s="4"/>
      <c r="H194" s="4"/>
    </row>
    <row r="195" spans="4:8" x14ac:dyDescent="0.45">
      <c r="D195" s="2"/>
      <c r="E195" s="2"/>
      <c r="F195" s="4"/>
      <c r="G195" s="4"/>
      <c r="H195" s="4"/>
    </row>
    <row r="196" spans="4:8" x14ac:dyDescent="0.45">
      <c r="D196" s="2"/>
      <c r="E196" s="2"/>
      <c r="F196" s="4"/>
      <c r="G196" s="4"/>
      <c r="H196" s="4"/>
    </row>
    <row r="197" spans="4:8" x14ac:dyDescent="0.45">
      <c r="D197" s="2"/>
      <c r="E197" s="2"/>
      <c r="F197" s="4"/>
      <c r="G197" s="4"/>
      <c r="H197" s="4"/>
    </row>
    <row r="198" spans="4:8" x14ac:dyDescent="0.45">
      <c r="D198" s="2"/>
      <c r="E198" s="2"/>
      <c r="F198" s="4"/>
      <c r="G198" s="4"/>
      <c r="H198" s="4"/>
    </row>
    <row r="199" spans="4:8" x14ac:dyDescent="0.45">
      <c r="D199" s="2"/>
      <c r="E199" s="2"/>
      <c r="F199" s="4"/>
      <c r="G199" s="4"/>
      <c r="H199" s="4"/>
    </row>
    <row r="200" spans="4:8" x14ac:dyDescent="0.45">
      <c r="D200" s="2"/>
      <c r="E200" s="2"/>
      <c r="F200" s="4"/>
      <c r="G200" s="4"/>
      <c r="H200" s="4"/>
    </row>
    <row r="201" spans="4:8" x14ac:dyDescent="0.45">
      <c r="D201" s="2"/>
      <c r="E201" s="2"/>
      <c r="F201" s="4"/>
      <c r="G201" s="4"/>
      <c r="H201" s="4"/>
    </row>
    <row r="202" spans="4:8" x14ac:dyDescent="0.45">
      <c r="D202" s="2"/>
      <c r="E202" s="2"/>
      <c r="F202" s="4"/>
      <c r="G202" s="4"/>
      <c r="H202" s="4"/>
    </row>
    <row r="203" spans="4:8" x14ac:dyDescent="0.45">
      <c r="D203" s="2"/>
      <c r="E203" s="2"/>
      <c r="F203" s="4"/>
      <c r="G203" s="4"/>
      <c r="H203" s="4"/>
    </row>
    <row r="204" spans="4:8" x14ac:dyDescent="0.45">
      <c r="D204" s="2"/>
      <c r="E204" s="2"/>
      <c r="F204" s="4"/>
      <c r="G204" s="4"/>
      <c r="H204" s="4"/>
    </row>
    <row r="205" spans="4:8" x14ac:dyDescent="0.45">
      <c r="D205" s="2"/>
      <c r="E205" s="2"/>
      <c r="F205" s="4"/>
      <c r="G205" s="4"/>
      <c r="H205" s="4"/>
    </row>
    <row r="206" spans="4:8" x14ac:dyDescent="0.45">
      <c r="D206" s="2"/>
      <c r="E206" s="2"/>
      <c r="F206" s="4"/>
      <c r="G206" s="4"/>
      <c r="H206" s="4"/>
    </row>
    <row r="207" spans="4:8" x14ac:dyDescent="0.45">
      <c r="D207" s="2"/>
      <c r="E207" s="2"/>
      <c r="F207" s="4"/>
      <c r="G207" s="4"/>
      <c r="H207" s="4"/>
    </row>
    <row r="208" spans="4:8" x14ac:dyDescent="0.45">
      <c r="D208" s="2"/>
      <c r="E208" s="2"/>
      <c r="F208" s="4"/>
      <c r="G208" s="4"/>
      <c r="H208" s="4"/>
    </row>
    <row r="209" spans="4:8" x14ac:dyDescent="0.45">
      <c r="D209" s="2"/>
      <c r="E209" s="2"/>
      <c r="F209" s="4"/>
      <c r="G209" s="4"/>
      <c r="H209" s="4"/>
    </row>
    <row r="210" spans="4:8" x14ac:dyDescent="0.45">
      <c r="D210" s="2"/>
      <c r="E210" s="2"/>
      <c r="F210" s="4"/>
      <c r="G210" s="4"/>
      <c r="H210" s="4"/>
    </row>
    <row r="211" spans="4:8" x14ac:dyDescent="0.45">
      <c r="D211" s="2"/>
      <c r="E211" s="2"/>
      <c r="F211" s="4"/>
      <c r="G211" s="4"/>
      <c r="H211" s="4"/>
    </row>
    <row r="212" spans="4:8" x14ac:dyDescent="0.45">
      <c r="D212" s="2"/>
      <c r="E212" s="2"/>
      <c r="F212" s="4"/>
      <c r="G212" s="4"/>
      <c r="H212" s="4"/>
    </row>
    <row r="213" spans="4:8" x14ac:dyDescent="0.45">
      <c r="D213" s="2"/>
      <c r="E213" s="2"/>
      <c r="F213" s="4"/>
      <c r="G213" s="4"/>
      <c r="H213" s="4"/>
    </row>
    <row r="214" spans="4:8" x14ac:dyDescent="0.45">
      <c r="D214" s="2"/>
      <c r="E214" s="2"/>
      <c r="F214" s="4"/>
      <c r="G214" s="4"/>
      <c r="H214" s="4"/>
    </row>
    <row r="215" spans="4:8" x14ac:dyDescent="0.45">
      <c r="D215" s="2"/>
      <c r="E215" s="2"/>
      <c r="F215" s="4"/>
      <c r="G215" s="4"/>
      <c r="H215" s="4"/>
    </row>
    <row r="216" spans="4:8" x14ac:dyDescent="0.45">
      <c r="D216" s="2"/>
      <c r="E216" s="2"/>
      <c r="F216" s="4"/>
      <c r="G216" s="4"/>
      <c r="H216" s="4"/>
    </row>
    <row r="217" spans="4:8" x14ac:dyDescent="0.45">
      <c r="D217" s="2"/>
      <c r="E217" s="2"/>
      <c r="F217" s="4"/>
      <c r="G217" s="4"/>
      <c r="H217" s="4"/>
    </row>
    <row r="218" spans="4:8" x14ac:dyDescent="0.45">
      <c r="D218" s="2"/>
      <c r="E218" s="2"/>
      <c r="F218" s="4"/>
      <c r="G218" s="4"/>
      <c r="H218" s="4"/>
    </row>
    <row r="219" spans="4:8" x14ac:dyDescent="0.45">
      <c r="D219" s="2"/>
      <c r="E219" s="2"/>
      <c r="F219" s="4"/>
      <c r="G219" s="4"/>
      <c r="H219" s="4"/>
    </row>
    <row r="220" spans="4:8" x14ac:dyDescent="0.45">
      <c r="D220" s="2"/>
      <c r="E220" s="2"/>
      <c r="F220" s="4"/>
      <c r="G220" s="4"/>
      <c r="H220" s="4"/>
    </row>
    <row r="221" spans="4:8" x14ac:dyDescent="0.45">
      <c r="D221" s="2"/>
      <c r="E221" s="2"/>
      <c r="F221" s="4"/>
      <c r="G221" s="4"/>
      <c r="H221" s="4"/>
    </row>
    <row r="222" spans="4:8" x14ac:dyDescent="0.45">
      <c r="D222" s="2"/>
      <c r="E222" s="2"/>
      <c r="F222" s="4"/>
      <c r="G222" s="4"/>
      <c r="H222" s="4"/>
    </row>
    <row r="223" spans="4:8" x14ac:dyDescent="0.45">
      <c r="D223" s="2"/>
      <c r="E223" s="2"/>
      <c r="F223" s="4"/>
      <c r="G223" s="4"/>
      <c r="H223" s="4"/>
    </row>
    <row r="224" spans="4:8" x14ac:dyDescent="0.45">
      <c r="D224" s="2"/>
      <c r="E224" s="2"/>
      <c r="F224" s="4"/>
      <c r="G224" s="4"/>
      <c r="H224" s="4"/>
    </row>
    <row r="225" spans="4:8" x14ac:dyDescent="0.45">
      <c r="D225" s="2"/>
      <c r="E225" s="2"/>
      <c r="F225" s="4"/>
      <c r="G225" s="4"/>
      <c r="H225" s="4"/>
    </row>
    <row r="226" spans="4:8" x14ac:dyDescent="0.45">
      <c r="H226" s="4"/>
    </row>
  </sheetData>
  <sortState xmlns:xlrd2="http://schemas.microsoft.com/office/spreadsheetml/2017/richdata2" ref="A2:I227">
    <sortCondition descending="1" ref="E1"/>
  </sortState>
  <mergeCells count="18">
    <mergeCell ref="J51:J55"/>
    <mergeCell ref="J57:J58"/>
    <mergeCell ref="J35:J38"/>
    <mergeCell ref="J39:J45"/>
    <mergeCell ref="J46:J49"/>
    <mergeCell ref="E46:E49"/>
    <mergeCell ref="E51:E55"/>
    <mergeCell ref="E57:E58"/>
    <mergeCell ref="J2:J12"/>
    <mergeCell ref="J13:J15"/>
    <mergeCell ref="J16:J27"/>
    <mergeCell ref="J28:J33"/>
    <mergeCell ref="E2:E12"/>
    <mergeCell ref="E13:E15"/>
    <mergeCell ref="E16:E27"/>
    <mergeCell ref="E28:E33"/>
    <mergeCell ref="E35:E38"/>
    <mergeCell ref="E39:E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Views>
    <sheetView workbookViewId="0">
      <pane ySplit="1" topLeftCell="A2" activePane="bottomLeft" state="frozen"/>
      <selection pane="bottomLeft" activeCell="B33" sqref="B33"/>
    </sheetView>
  </sheetViews>
  <sheetFormatPr defaultRowHeight="14.25" x14ac:dyDescent="0.45"/>
  <cols>
    <col min="1" max="1" width="34.6640625" style="1" customWidth="1"/>
    <col min="2" max="2" width="98.19921875" style="1" bestFit="1" customWidth="1"/>
    <col min="3" max="3" width="7.6640625" style="1" bestFit="1" customWidth="1"/>
    <col min="4" max="4" width="11.9296875" style="1" bestFit="1" customWidth="1"/>
    <col min="5" max="5" width="9.19921875" style="1" bestFit="1" customWidth="1"/>
    <col min="6" max="7" width="11.265625" style="1" bestFit="1" customWidth="1"/>
    <col min="8" max="8" width="17.6640625" style="1" bestFit="1" customWidth="1"/>
    <col min="9" max="9" width="0" style="1" hidden="1" customWidth="1"/>
    <col min="10" max="10" width="9.86328125" style="1" bestFit="1" customWidth="1"/>
    <col min="11" max="16384" width="9.06640625" style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>
        <f>SUM(J2:J26)</f>
        <v>-2082.7500000000014</v>
      </c>
      <c r="K1" s="9"/>
    </row>
    <row r="2" spans="1:11" x14ac:dyDescent="0.45">
      <c r="A2" s="1" t="s">
        <v>34</v>
      </c>
      <c r="B2" s="1" t="s">
        <v>35</v>
      </c>
      <c r="C2" s="1">
        <v>1</v>
      </c>
      <c r="D2" s="2">
        <v>43626</v>
      </c>
      <c r="E2" s="3">
        <v>43637</v>
      </c>
      <c r="F2" s="4">
        <v>0</v>
      </c>
      <c r="G2" s="4">
        <v>1217.6400000000001</v>
      </c>
      <c r="H2" s="4">
        <v>-1217.6400000000001</v>
      </c>
      <c r="I2" s="1" t="s">
        <v>11</v>
      </c>
      <c r="J2" s="4">
        <f>SUM(H2:H7)</f>
        <v>-7027.2000000000007</v>
      </c>
      <c r="K2" s="9"/>
    </row>
    <row r="3" spans="1:11" x14ac:dyDescent="0.45">
      <c r="A3" s="1" t="s">
        <v>38</v>
      </c>
      <c r="B3" s="1" t="s">
        <v>39</v>
      </c>
      <c r="C3" s="1">
        <v>1</v>
      </c>
      <c r="D3" s="2">
        <v>43626</v>
      </c>
      <c r="E3" s="3"/>
      <c r="F3" s="4">
        <v>0</v>
      </c>
      <c r="G3" s="4">
        <v>2155.64</v>
      </c>
      <c r="H3" s="4">
        <v>-2155.64</v>
      </c>
      <c r="I3" s="1" t="s">
        <v>11</v>
      </c>
      <c r="K3" s="9"/>
    </row>
    <row r="4" spans="1:11" x14ac:dyDescent="0.45">
      <c r="A4" s="1" t="s">
        <v>38</v>
      </c>
      <c r="B4" s="1" t="s">
        <v>39</v>
      </c>
      <c r="C4" s="1">
        <v>4</v>
      </c>
      <c r="D4" s="2">
        <v>43627</v>
      </c>
      <c r="E4" s="3"/>
      <c r="F4" s="4">
        <v>0</v>
      </c>
      <c r="G4" s="4">
        <v>1111.71</v>
      </c>
      <c r="H4" s="4">
        <v>-1111.71</v>
      </c>
      <c r="I4" s="1" t="s">
        <v>11</v>
      </c>
      <c r="K4" s="9"/>
    </row>
    <row r="5" spans="1:11" x14ac:dyDescent="0.45">
      <c r="A5" s="1" t="s">
        <v>38</v>
      </c>
      <c r="B5" s="1" t="s">
        <v>39</v>
      </c>
      <c r="C5" s="1">
        <v>1</v>
      </c>
      <c r="D5" s="2">
        <v>43630</v>
      </c>
      <c r="E5" s="3"/>
      <c r="F5" s="4">
        <v>0</v>
      </c>
      <c r="G5" s="4">
        <v>281.64</v>
      </c>
      <c r="H5" s="4">
        <v>-281.64</v>
      </c>
      <c r="I5" s="1" t="s">
        <v>11</v>
      </c>
      <c r="K5" s="9"/>
    </row>
    <row r="6" spans="1:11" x14ac:dyDescent="0.45">
      <c r="A6" s="1" t="s">
        <v>136</v>
      </c>
      <c r="B6" s="1" t="s">
        <v>137</v>
      </c>
      <c r="C6" s="1">
        <v>20</v>
      </c>
      <c r="D6" s="2">
        <v>43627</v>
      </c>
      <c r="E6" s="3"/>
      <c r="F6" s="4">
        <v>0</v>
      </c>
      <c r="G6" s="4">
        <v>1018.73</v>
      </c>
      <c r="H6" s="4">
        <v>-1018.73</v>
      </c>
      <c r="I6" s="1" t="s">
        <v>11</v>
      </c>
      <c r="K6" s="9"/>
    </row>
    <row r="7" spans="1:11" x14ac:dyDescent="0.45">
      <c r="A7" s="1" t="s">
        <v>260</v>
      </c>
      <c r="B7" s="1" t="s">
        <v>261</v>
      </c>
      <c r="C7" s="1">
        <v>10</v>
      </c>
      <c r="D7" s="2">
        <v>43572</v>
      </c>
      <c r="E7" s="3"/>
      <c r="F7" s="4">
        <v>0</v>
      </c>
      <c r="G7" s="4">
        <v>1241.8399999999999</v>
      </c>
      <c r="H7" s="4">
        <v>-1241.8399999999999</v>
      </c>
      <c r="I7" s="1" t="s">
        <v>11</v>
      </c>
      <c r="K7" s="9"/>
    </row>
    <row r="8" spans="1:11" x14ac:dyDescent="0.45">
      <c r="A8" s="1" t="s">
        <v>130</v>
      </c>
      <c r="B8" s="1" t="s">
        <v>131</v>
      </c>
      <c r="C8" s="1">
        <v>5</v>
      </c>
      <c r="D8" s="2">
        <v>43622</v>
      </c>
      <c r="E8" s="2">
        <v>43636</v>
      </c>
      <c r="F8" s="4">
        <v>541.59</v>
      </c>
      <c r="G8" s="4">
        <v>468.39</v>
      </c>
      <c r="H8" s="4">
        <v>73.2</v>
      </c>
      <c r="I8" s="1" t="s">
        <v>11</v>
      </c>
      <c r="J8" s="4">
        <f>H8</f>
        <v>73.2</v>
      </c>
      <c r="K8" s="9"/>
    </row>
    <row r="9" spans="1:11" x14ac:dyDescent="0.45">
      <c r="A9" s="1" t="s">
        <v>26</v>
      </c>
      <c r="B9" s="1" t="s">
        <v>27</v>
      </c>
      <c r="C9" s="1">
        <v>3</v>
      </c>
      <c r="D9" s="2">
        <v>43613</v>
      </c>
      <c r="E9" s="3">
        <v>43635</v>
      </c>
      <c r="F9" s="4">
        <v>1378.95</v>
      </c>
      <c r="G9" s="4">
        <v>824.07</v>
      </c>
      <c r="H9" s="4">
        <v>554.88</v>
      </c>
      <c r="I9" s="1" t="s">
        <v>11</v>
      </c>
      <c r="J9" s="5">
        <f>SUM(H9:H13)</f>
        <v>908.62</v>
      </c>
      <c r="K9" s="9"/>
    </row>
    <row r="10" spans="1:11" x14ac:dyDescent="0.45">
      <c r="A10" s="1" t="s">
        <v>40</v>
      </c>
      <c r="B10" s="1" t="s">
        <v>41</v>
      </c>
      <c r="C10" s="1">
        <v>2</v>
      </c>
      <c r="D10" s="2">
        <v>43630</v>
      </c>
      <c r="E10" s="3"/>
      <c r="F10" s="4">
        <v>396.96</v>
      </c>
      <c r="G10" s="4">
        <v>316.33</v>
      </c>
      <c r="H10" s="4">
        <v>80.63</v>
      </c>
      <c r="I10" s="1" t="s">
        <v>11</v>
      </c>
      <c r="J10" s="5"/>
      <c r="K10" s="9"/>
    </row>
    <row r="11" spans="1:11" x14ac:dyDescent="0.45">
      <c r="A11" s="1" t="s">
        <v>40</v>
      </c>
      <c r="B11" s="1" t="s">
        <v>41</v>
      </c>
      <c r="C11" s="1">
        <v>4</v>
      </c>
      <c r="D11" s="2">
        <v>43630</v>
      </c>
      <c r="E11" s="3"/>
      <c r="F11" s="4">
        <v>793.93</v>
      </c>
      <c r="G11" s="4">
        <v>606.71</v>
      </c>
      <c r="H11" s="4">
        <v>187.22</v>
      </c>
      <c r="I11" s="1" t="s">
        <v>11</v>
      </c>
      <c r="J11" s="5"/>
      <c r="K11" s="9"/>
    </row>
    <row r="12" spans="1:11" x14ac:dyDescent="0.45">
      <c r="A12" s="1" t="s">
        <v>40</v>
      </c>
      <c r="B12" s="1" t="s">
        <v>41</v>
      </c>
      <c r="C12" s="1">
        <v>1</v>
      </c>
      <c r="D12" s="2">
        <v>43630</v>
      </c>
      <c r="E12" s="3"/>
      <c r="F12" s="4">
        <v>193.3</v>
      </c>
      <c r="G12" s="4">
        <v>151.68</v>
      </c>
      <c r="H12" s="4">
        <v>41.62</v>
      </c>
      <c r="I12" s="1" t="s">
        <v>11</v>
      </c>
      <c r="J12" s="5"/>
      <c r="K12" s="9"/>
    </row>
    <row r="13" spans="1:11" x14ac:dyDescent="0.45">
      <c r="A13" s="1" t="s">
        <v>192</v>
      </c>
      <c r="B13" s="1" t="s">
        <v>193</v>
      </c>
      <c r="C13" s="1">
        <v>2</v>
      </c>
      <c r="D13" s="2">
        <v>43633</v>
      </c>
      <c r="E13" s="3"/>
      <c r="F13" s="4">
        <v>548.6</v>
      </c>
      <c r="G13" s="4">
        <v>504.33</v>
      </c>
      <c r="H13" s="4">
        <v>44.27</v>
      </c>
      <c r="I13" s="1" t="s">
        <v>11</v>
      </c>
      <c r="J13" s="5"/>
      <c r="K13" s="9"/>
    </row>
    <row r="14" spans="1:11" x14ac:dyDescent="0.45">
      <c r="A14" s="1" t="s">
        <v>28</v>
      </c>
      <c r="B14" s="1" t="s">
        <v>29</v>
      </c>
      <c r="C14" s="1">
        <v>3</v>
      </c>
      <c r="D14" s="2">
        <v>43613</v>
      </c>
      <c r="E14" s="3">
        <v>43630</v>
      </c>
      <c r="F14" s="4">
        <v>1225.95</v>
      </c>
      <c r="G14" s="4">
        <v>787.02</v>
      </c>
      <c r="H14" s="4">
        <v>438.93</v>
      </c>
      <c r="I14" s="1" t="s">
        <v>11</v>
      </c>
      <c r="J14" s="5">
        <f>SUM(H14:H15)</f>
        <v>495.96000000000004</v>
      </c>
      <c r="K14" s="9"/>
    </row>
    <row r="15" spans="1:11" x14ac:dyDescent="0.45">
      <c r="A15" s="1" t="s">
        <v>194</v>
      </c>
      <c r="B15" s="1" t="s">
        <v>195</v>
      </c>
      <c r="C15" s="1">
        <v>50</v>
      </c>
      <c r="D15" s="2">
        <v>43626</v>
      </c>
      <c r="E15" s="3"/>
      <c r="F15" s="4">
        <v>2066.7600000000002</v>
      </c>
      <c r="G15" s="4">
        <v>2009.73</v>
      </c>
      <c r="H15" s="4">
        <v>57.03</v>
      </c>
      <c r="I15" s="1" t="s">
        <v>11</v>
      </c>
      <c r="J15" s="5"/>
      <c r="K15" s="9"/>
    </row>
    <row r="16" spans="1:11" x14ac:dyDescent="0.45">
      <c r="A16" s="1" t="s">
        <v>36</v>
      </c>
      <c r="B16" s="1" t="s">
        <v>37</v>
      </c>
      <c r="C16" s="1">
        <v>1</v>
      </c>
      <c r="D16" s="2">
        <v>43626</v>
      </c>
      <c r="E16" s="3">
        <v>43627</v>
      </c>
      <c r="F16" s="4">
        <v>752.29</v>
      </c>
      <c r="G16" s="4">
        <v>353.64</v>
      </c>
      <c r="H16" s="4">
        <v>398.65</v>
      </c>
      <c r="I16" s="1" t="s">
        <v>11</v>
      </c>
      <c r="J16" s="5">
        <f>SUM(H16:H18)</f>
        <v>1538.85</v>
      </c>
      <c r="K16" s="9"/>
    </row>
    <row r="17" spans="1:11" x14ac:dyDescent="0.45">
      <c r="A17" s="1" t="s">
        <v>72</v>
      </c>
      <c r="B17" s="1" t="s">
        <v>73</v>
      </c>
      <c r="C17" s="1">
        <v>1</v>
      </c>
      <c r="D17" s="2">
        <v>43622</v>
      </c>
      <c r="E17" s="3"/>
      <c r="F17" s="4">
        <v>484.34</v>
      </c>
      <c r="G17" s="4">
        <v>466.64</v>
      </c>
      <c r="H17" s="4">
        <v>17.7</v>
      </c>
      <c r="I17" s="1" t="s">
        <v>11</v>
      </c>
      <c r="J17" s="5"/>
      <c r="K17" s="9"/>
    </row>
    <row r="18" spans="1:11" x14ac:dyDescent="0.45">
      <c r="A18" s="1" t="s">
        <v>138</v>
      </c>
      <c r="B18" s="1" t="s">
        <v>139</v>
      </c>
      <c r="C18" s="1">
        <v>20</v>
      </c>
      <c r="D18" s="2">
        <v>43622</v>
      </c>
      <c r="E18" s="3"/>
      <c r="F18" s="4">
        <v>1721.23</v>
      </c>
      <c r="G18" s="4">
        <v>598.73</v>
      </c>
      <c r="H18" s="4">
        <v>1122.5</v>
      </c>
      <c r="I18" s="1" t="s">
        <v>11</v>
      </c>
      <c r="J18" s="5"/>
      <c r="K18" s="9"/>
    </row>
    <row r="19" spans="1:11" x14ac:dyDescent="0.45">
      <c r="A19" s="1" t="s">
        <v>134</v>
      </c>
      <c r="B19" s="1" t="s">
        <v>135</v>
      </c>
      <c r="C19" s="1">
        <v>10</v>
      </c>
      <c r="D19" s="2">
        <v>43607</v>
      </c>
      <c r="E19" s="3">
        <v>43626</v>
      </c>
      <c r="F19" s="4">
        <v>851.44</v>
      </c>
      <c r="G19" s="4">
        <v>551.84</v>
      </c>
      <c r="H19" s="4">
        <v>299.60000000000002</v>
      </c>
      <c r="I19" s="1" t="s">
        <v>11</v>
      </c>
      <c r="J19" s="5">
        <f>SUM(H19:H21)</f>
        <v>723.76</v>
      </c>
      <c r="K19" s="9"/>
    </row>
    <row r="20" spans="1:11" x14ac:dyDescent="0.45">
      <c r="A20" s="1" t="s">
        <v>134</v>
      </c>
      <c r="B20" s="1" t="s">
        <v>135</v>
      </c>
      <c r="C20" s="1">
        <v>10</v>
      </c>
      <c r="D20" s="2">
        <v>43608</v>
      </c>
      <c r="E20" s="3"/>
      <c r="F20" s="4">
        <v>851.44</v>
      </c>
      <c r="G20" s="4">
        <v>471.84</v>
      </c>
      <c r="H20" s="4">
        <v>379.6</v>
      </c>
      <c r="I20" s="1" t="s">
        <v>11</v>
      </c>
      <c r="J20" s="5"/>
      <c r="K20" s="9"/>
    </row>
    <row r="21" spans="1:11" x14ac:dyDescent="0.45">
      <c r="A21" s="1" t="s">
        <v>134</v>
      </c>
      <c r="B21" s="1" t="s">
        <v>135</v>
      </c>
      <c r="C21" s="1">
        <v>10</v>
      </c>
      <c r="D21" s="2">
        <v>43622</v>
      </c>
      <c r="E21" s="3"/>
      <c r="F21" s="4">
        <v>851.45</v>
      </c>
      <c r="G21" s="4">
        <v>806.89</v>
      </c>
      <c r="H21" s="4">
        <v>44.56</v>
      </c>
      <c r="I21" s="1" t="s">
        <v>11</v>
      </c>
      <c r="J21" s="5"/>
      <c r="K21" s="9"/>
    </row>
    <row r="22" spans="1:11" x14ac:dyDescent="0.45">
      <c r="A22" s="1" t="s">
        <v>122</v>
      </c>
      <c r="B22" s="1" t="s">
        <v>123</v>
      </c>
      <c r="C22" s="1">
        <v>600</v>
      </c>
      <c r="D22" s="2">
        <v>43588</v>
      </c>
      <c r="E22" s="3">
        <v>43622</v>
      </c>
      <c r="F22" s="4">
        <v>5198.9799999999996</v>
      </c>
      <c r="G22" s="4">
        <v>4497.47</v>
      </c>
      <c r="H22" s="4">
        <v>701.51</v>
      </c>
      <c r="I22" s="1" t="s">
        <v>11</v>
      </c>
      <c r="J22" s="5">
        <f>SUM(H22:H26)</f>
        <v>1204.06</v>
      </c>
      <c r="K22" s="9"/>
    </row>
    <row r="23" spans="1:11" x14ac:dyDescent="0.45">
      <c r="A23" s="1" t="s">
        <v>122</v>
      </c>
      <c r="B23" s="1" t="s">
        <v>123</v>
      </c>
      <c r="C23" s="1">
        <v>200</v>
      </c>
      <c r="D23" s="2">
        <v>43588</v>
      </c>
      <c r="E23" s="3"/>
      <c r="F23" s="4">
        <v>1735</v>
      </c>
      <c r="G23" s="4">
        <v>1499.16</v>
      </c>
      <c r="H23" s="4">
        <v>235.84</v>
      </c>
      <c r="I23" s="1" t="s">
        <v>11</v>
      </c>
      <c r="J23" s="5"/>
      <c r="K23" s="9"/>
    </row>
    <row r="24" spans="1:11" x14ac:dyDescent="0.45">
      <c r="A24" s="1" t="s">
        <v>122</v>
      </c>
      <c r="B24" s="1" t="s">
        <v>123</v>
      </c>
      <c r="C24" s="1">
        <v>200</v>
      </c>
      <c r="D24" s="2">
        <v>43588</v>
      </c>
      <c r="E24" s="3"/>
      <c r="F24" s="4">
        <v>1733.96</v>
      </c>
      <c r="G24" s="4">
        <v>1499.15</v>
      </c>
      <c r="H24" s="4">
        <v>234.81</v>
      </c>
      <c r="I24" s="1" t="s">
        <v>11</v>
      </c>
      <c r="J24" s="5"/>
      <c r="K24" s="9"/>
    </row>
    <row r="25" spans="1:11" x14ac:dyDescent="0.45">
      <c r="A25" s="1" t="s">
        <v>128</v>
      </c>
      <c r="B25" s="1" t="s">
        <v>129</v>
      </c>
      <c r="C25" s="1">
        <v>7</v>
      </c>
      <c r="D25" s="2">
        <v>43619</v>
      </c>
      <c r="E25" s="3"/>
      <c r="F25" s="4">
        <v>128.32</v>
      </c>
      <c r="G25" s="4">
        <v>101.74</v>
      </c>
      <c r="H25" s="4">
        <v>26.58</v>
      </c>
      <c r="I25" s="1" t="s">
        <v>11</v>
      </c>
      <c r="J25" s="5"/>
      <c r="K25" s="9"/>
    </row>
    <row r="26" spans="1:11" x14ac:dyDescent="0.45">
      <c r="A26" s="1" t="s">
        <v>128</v>
      </c>
      <c r="B26" s="1" t="s">
        <v>129</v>
      </c>
      <c r="C26" s="1">
        <v>3</v>
      </c>
      <c r="D26" s="2">
        <v>43619</v>
      </c>
      <c r="E26" s="3"/>
      <c r="F26" s="4">
        <v>48.92</v>
      </c>
      <c r="G26" s="4">
        <v>43.6</v>
      </c>
      <c r="H26" s="4">
        <v>5.32</v>
      </c>
      <c r="I26" s="1" t="s">
        <v>11</v>
      </c>
      <c r="J26" s="5"/>
      <c r="K26" s="9"/>
    </row>
    <row r="27" spans="1:11" x14ac:dyDescent="0.45">
      <c r="A27" s="6"/>
      <c r="B27" s="6"/>
      <c r="C27" s="6"/>
      <c r="D27" s="7"/>
      <c r="E27" s="7"/>
      <c r="F27" s="8"/>
      <c r="G27" s="8"/>
      <c r="H27" s="8"/>
      <c r="I27" s="6"/>
      <c r="J27" s="6"/>
    </row>
    <row r="28" spans="1:11" x14ac:dyDescent="0.45">
      <c r="D28" s="2"/>
      <c r="E28" s="2"/>
      <c r="F28" s="4"/>
      <c r="G28" s="4"/>
      <c r="H28" s="4">
        <f>SUM(H2:H26)</f>
        <v>-2082.7500000000009</v>
      </c>
    </row>
    <row r="29" spans="1:11" x14ac:dyDescent="0.45">
      <c r="D29" s="2"/>
      <c r="E29" s="2"/>
      <c r="F29" s="4"/>
      <c r="G29" s="4"/>
      <c r="H29" s="4"/>
    </row>
    <row r="30" spans="1:11" x14ac:dyDescent="0.45">
      <c r="D30" s="2"/>
      <c r="E30" s="2"/>
      <c r="F30" s="4"/>
      <c r="G30" s="4"/>
      <c r="H30" s="4"/>
    </row>
    <row r="31" spans="1:11" x14ac:dyDescent="0.45">
      <c r="D31" s="2"/>
      <c r="E31" s="2"/>
      <c r="F31" s="4"/>
      <c r="G31" s="4"/>
      <c r="H31" s="4"/>
    </row>
    <row r="32" spans="1:11" x14ac:dyDescent="0.45">
      <c r="D32" s="2"/>
      <c r="E32" s="2"/>
      <c r="F32" s="4"/>
      <c r="G32" s="4"/>
      <c r="H32" s="4"/>
    </row>
    <row r="33" spans="4:8" x14ac:dyDescent="0.45">
      <c r="D33" s="2"/>
      <c r="E33" s="2"/>
      <c r="F33" s="4"/>
      <c r="G33" s="4"/>
      <c r="H33" s="4"/>
    </row>
    <row r="34" spans="4:8" x14ac:dyDescent="0.45">
      <c r="D34" s="2"/>
      <c r="E34" s="2"/>
      <c r="F34" s="4"/>
      <c r="G34" s="4"/>
      <c r="H34" s="4"/>
    </row>
    <row r="35" spans="4:8" x14ac:dyDescent="0.45">
      <c r="D35" s="2"/>
      <c r="E35" s="2"/>
      <c r="F35" s="4"/>
      <c r="G35" s="4"/>
      <c r="H35" s="4"/>
    </row>
    <row r="36" spans="4:8" x14ac:dyDescent="0.45">
      <c r="D36" s="2"/>
      <c r="E36" s="2"/>
      <c r="F36" s="4"/>
      <c r="G36" s="4"/>
      <c r="H36" s="4"/>
    </row>
    <row r="37" spans="4:8" x14ac:dyDescent="0.45">
      <c r="D37" s="2"/>
      <c r="E37" s="2"/>
      <c r="F37" s="4"/>
      <c r="G37" s="4"/>
      <c r="H37" s="4"/>
    </row>
    <row r="38" spans="4:8" x14ac:dyDescent="0.45">
      <c r="D38" s="2"/>
      <c r="E38" s="2"/>
      <c r="F38" s="4"/>
      <c r="G38" s="4"/>
      <c r="H38" s="4"/>
    </row>
    <row r="39" spans="4:8" x14ac:dyDescent="0.45">
      <c r="D39" s="2"/>
      <c r="E39" s="2"/>
      <c r="F39" s="4"/>
      <c r="G39" s="4"/>
      <c r="H39" s="4"/>
    </row>
    <row r="40" spans="4:8" x14ac:dyDescent="0.45">
      <c r="D40" s="2"/>
      <c r="E40" s="2"/>
      <c r="F40" s="4"/>
      <c r="G40" s="4"/>
      <c r="H40" s="4"/>
    </row>
    <row r="41" spans="4:8" x14ac:dyDescent="0.45">
      <c r="D41" s="2"/>
      <c r="E41" s="2"/>
      <c r="F41" s="4"/>
      <c r="G41" s="4"/>
      <c r="H41" s="4"/>
    </row>
    <row r="42" spans="4:8" x14ac:dyDescent="0.45">
      <c r="D42" s="2"/>
      <c r="E42" s="2"/>
      <c r="F42" s="4"/>
      <c r="G42" s="4"/>
      <c r="H42" s="4"/>
    </row>
    <row r="43" spans="4:8" x14ac:dyDescent="0.45">
      <c r="D43" s="2"/>
      <c r="E43" s="2"/>
      <c r="F43" s="4"/>
      <c r="G43" s="4"/>
      <c r="H43" s="4"/>
    </row>
    <row r="44" spans="4:8" x14ac:dyDescent="0.45">
      <c r="D44" s="2"/>
      <c r="E44" s="2"/>
      <c r="F44" s="4"/>
      <c r="G44" s="4"/>
      <c r="H44" s="4"/>
    </row>
    <row r="45" spans="4:8" x14ac:dyDescent="0.45">
      <c r="D45" s="2"/>
      <c r="E45" s="2"/>
      <c r="F45" s="4"/>
      <c r="G45" s="4"/>
      <c r="H45" s="4"/>
    </row>
    <row r="46" spans="4:8" x14ac:dyDescent="0.45">
      <c r="D46" s="2"/>
      <c r="E46" s="2"/>
      <c r="F46" s="4"/>
      <c r="G46" s="4"/>
      <c r="H46" s="4"/>
    </row>
    <row r="47" spans="4:8" x14ac:dyDescent="0.45">
      <c r="D47" s="2"/>
      <c r="E47" s="2"/>
      <c r="F47" s="4"/>
      <c r="G47" s="4"/>
      <c r="H47" s="4"/>
    </row>
    <row r="48" spans="4:8" x14ac:dyDescent="0.45">
      <c r="D48" s="2"/>
      <c r="E48" s="2"/>
      <c r="F48" s="4"/>
      <c r="G48" s="4"/>
      <c r="H48" s="4"/>
    </row>
    <row r="49" spans="4:8" x14ac:dyDescent="0.45">
      <c r="D49" s="2"/>
      <c r="E49" s="2"/>
      <c r="F49" s="4"/>
      <c r="G49" s="4"/>
      <c r="H49" s="4"/>
    </row>
    <row r="50" spans="4:8" x14ac:dyDescent="0.45">
      <c r="D50" s="2"/>
      <c r="E50" s="2"/>
      <c r="F50" s="4"/>
      <c r="G50" s="4"/>
      <c r="H50" s="4"/>
    </row>
    <row r="51" spans="4:8" x14ac:dyDescent="0.45">
      <c r="D51" s="2"/>
      <c r="E51" s="2"/>
      <c r="F51" s="4"/>
      <c r="G51" s="4"/>
      <c r="H51" s="4"/>
    </row>
    <row r="52" spans="4:8" x14ac:dyDescent="0.45">
      <c r="D52" s="2"/>
      <c r="E52" s="2"/>
      <c r="F52" s="4"/>
      <c r="G52" s="4"/>
      <c r="H52" s="4"/>
    </row>
    <row r="53" spans="4:8" x14ac:dyDescent="0.45">
      <c r="D53" s="2"/>
      <c r="E53" s="2"/>
      <c r="F53" s="4"/>
      <c r="G53" s="4"/>
      <c r="H53" s="4"/>
    </row>
    <row r="54" spans="4:8" x14ac:dyDescent="0.45">
      <c r="D54" s="2"/>
      <c r="E54" s="2"/>
      <c r="F54" s="4"/>
      <c r="G54" s="4"/>
      <c r="H54" s="4"/>
    </row>
    <row r="55" spans="4:8" x14ac:dyDescent="0.45">
      <c r="D55" s="2"/>
      <c r="E55" s="2"/>
      <c r="F55" s="4"/>
      <c r="G55" s="4"/>
      <c r="H55" s="4"/>
    </row>
    <row r="56" spans="4:8" x14ac:dyDescent="0.45">
      <c r="D56" s="2"/>
      <c r="E56" s="2"/>
      <c r="F56" s="4"/>
      <c r="G56" s="4"/>
      <c r="H56" s="4"/>
    </row>
    <row r="57" spans="4:8" x14ac:dyDescent="0.45">
      <c r="D57" s="2"/>
      <c r="E57" s="2"/>
      <c r="F57" s="4"/>
      <c r="G57" s="4"/>
      <c r="H57" s="4"/>
    </row>
    <row r="58" spans="4:8" x14ac:dyDescent="0.45">
      <c r="D58" s="2"/>
      <c r="E58" s="2"/>
      <c r="F58" s="4"/>
      <c r="G58" s="4"/>
      <c r="H58" s="4"/>
    </row>
    <row r="59" spans="4:8" x14ac:dyDescent="0.45">
      <c r="D59" s="2"/>
      <c r="E59" s="2"/>
      <c r="F59" s="4"/>
      <c r="G59" s="4"/>
      <c r="H59" s="4"/>
    </row>
    <row r="60" spans="4:8" x14ac:dyDescent="0.45">
      <c r="D60" s="2"/>
      <c r="E60" s="2"/>
      <c r="F60" s="4"/>
      <c r="G60" s="4"/>
      <c r="H60" s="4"/>
    </row>
    <row r="61" spans="4:8" x14ac:dyDescent="0.45">
      <c r="D61" s="2"/>
      <c r="E61" s="2"/>
      <c r="F61" s="4"/>
      <c r="G61" s="4"/>
      <c r="H61" s="4"/>
    </row>
    <row r="62" spans="4:8" x14ac:dyDescent="0.45">
      <c r="D62" s="2"/>
      <c r="E62" s="2"/>
      <c r="F62" s="4"/>
      <c r="G62" s="4"/>
      <c r="H62" s="4"/>
    </row>
    <row r="63" spans="4:8" x14ac:dyDescent="0.45">
      <c r="D63" s="2"/>
      <c r="E63" s="2"/>
      <c r="F63" s="4"/>
      <c r="G63" s="4"/>
      <c r="H63" s="4"/>
    </row>
    <row r="64" spans="4:8" x14ac:dyDescent="0.45">
      <c r="D64" s="2"/>
      <c r="E64" s="2"/>
      <c r="F64" s="4"/>
      <c r="G64" s="4"/>
      <c r="H64" s="4"/>
    </row>
    <row r="65" spans="4:8" x14ac:dyDescent="0.45">
      <c r="D65" s="2"/>
      <c r="E65" s="2"/>
      <c r="F65" s="4"/>
      <c r="G65" s="4"/>
      <c r="H65" s="4"/>
    </row>
    <row r="66" spans="4:8" x14ac:dyDescent="0.45">
      <c r="D66" s="2"/>
      <c r="E66" s="2"/>
      <c r="F66" s="4"/>
      <c r="G66" s="4"/>
      <c r="H66" s="4"/>
    </row>
    <row r="67" spans="4:8" x14ac:dyDescent="0.45">
      <c r="D67" s="2"/>
      <c r="E67" s="2"/>
      <c r="F67" s="4"/>
      <c r="G67" s="4"/>
      <c r="H67" s="4"/>
    </row>
    <row r="68" spans="4:8" x14ac:dyDescent="0.45">
      <c r="D68" s="2"/>
      <c r="E68" s="2"/>
      <c r="F68" s="4"/>
      <c r="G68" s="4"/>
      <c r="H68" s="4"/>
    </row>
    <row r="69" spans="4:8" x14ac:dyDescent="0.45">
      <c r="D69" s="2"/>
      <c r="E69" s="2"/>
      <c r="F69" s="4"/>
      <c r="G69" s="4"/>
      <c r="H69" s="4"/>
    </row>
    <row r="70" spans="4:8" x14ac:dyDescent="0.45">
      <c r="D70" s="2"/>
      <c r="E70" s="2"/>
      <c r="F70" s="4"/>
      <c r="G70" s="4"/>
      <c r="H70" s="4"/>
    </row>
    <row r="71" spans="4:8" x14ac:dyDescent="0.45">
      <c r="D71" s="2"/>
      <c r="E71" s="2"/>
      <c r="F71" s="4"/>
      <c r="G71" s="4"/>
      <c r="H71" s="4"/>
    </row>
    <row r="72" spans="4:8" x14ac:dyDescent="0.45">
      <c r="D72" s="2"/>
      <c r="E72" s="2"/>
      <c r="F72" s="4"/>
      <c r="G72" s="4"/>
      <c r="H72" s="4"/>
    </row>
    <row r="73" spans="4:8" x14ac:dyDescent="0.45">
      <c r="D73" s="2"/>
      <c r="E73" s="2"/>
      <c r="F73" s="4"/>
      <c r="G73" s="4"/>
      <c r="H73" s="4"/>
    </row>
    <row r="74" spans="4:8" x14ac:dyDescent="0.45">
      <c r="D74" s="2"/>
      <c r="E74" s="2"/>
      <c r="F74" s="4"/>
      <c r="G74" s="4"/>
      <c r="H74" s="4"/>
    </row>
    <row r="75" spans="4:8" x14ac:dyDescent="0.45">
      <c r="D75" s="2"/>
      <c r="E75" s="2"/>
      <c r="F75" s="4"/>
      <c r="G75" s="4"/>
      <c r="H75" s="4"/>
    </row>
    <row r="76" spans="4:8" x14ac:dyDescent="0.45">
      <c r="D76" s="2"/>
      <c r="E76" s="2"/>
      <c r="F76" s="4"/>
      <c r="G76" s="4"/>
      <c r="H76" s="4"/>
    </row>
    <row r="77" spans="4:8" x14ac:dyDescent="0.45">
      <c r="D77" s="2"/>
      <c r="E77" s="2"/>
      <c r="F77" s="4"/>
      <c r="G77" s="4"/>
      <c r="H77" s="4"/>
    </row>
    <row r="78" spans="4:8" x14ac:dyDescent="0.45">
      <c r="D78" s="2"/>
      <c r="E78" s="2"/>
      <c r="F78" s="4"/>
      <c r="G78" s="4"/>
      <c r="H78" s="4"/>
    </row>
    <row r="79" spans="4:8" x14ac:dyDescent="0.45">
      <c r="D79" s="2"/>
      <c r="E79" s="2"/>
      <c r="F79" s="4"/>
      <c r="G79" s="4"/>
      <c r="H79" s="4"/>
    </row>
    <row r="80" spans="4:8" x14ac:dyDescent="0.45">
      <c r="D80" s="2"/>
      <c r="E80" s="2"/>
      <c r="F80" s="4"/>
      <c r="G80" s="4"/>
      <c r="H80" s="4"/>
    </row>
    <row r="81" spans="4:8" x14ac:dyDescent="0.45">
      <c r="D81" s="2"/>
      <c r="E81" s="2"/>
      <c r="F81" s="4"/>
      <c r="G81" s="4"/>
      <c r="H81" s="4"/>
    </row>
    <row r="82" spans="4:8" x14ac:dyDescent="0.45">
      <c r="D82" s="2"/>
      <c r="E82" s="2"/>
      <c r="F82" s="4"/>
      <c r="G82" s="4"/>
      <c r="H82" s="4"/>
    </row>
    <row r="83" spans="4:8" x14ac:dyDescent="0.45">
      <c r="D83" s="2"/>
      <c r="E83" s="2"/>
      <c r="F83" s="4"/>
      <c r="G83" s="4"/>
      <c r="H83" s="4"/>
    </row>
    <row r="84" spans="4:8" x14ac:dyDescent="0.45">
      <c r="D84" s="2"/>
      <c r="E84" s="2"/>
      <c r="F84" s="4"/>
      <c r="G84" s="4"/>
      <c r="H84" s="4"/>
    </row>
    <row r="85" spans="4:8" x14ac:dyDescent="0.45">
      <c r="D85" s="2"/>
      <c r="E85" s="2"/>
      <c r="F85" s="4"/>
      <c r="G85" s="4"/>
      <c r="H85" s="4"/>
    </row>
    <row r="86" spans="4:8" x14ac:dyDescent="0.45">
      <c r="D86" s="2"/>
      <c r="E86" s="2"/>
      <c r="F86" s="4"/>
      <c r="G86" s="4"/>
      <c r="H86" s="4"/>
    </row>
    <row r="87" spans="4:8" x14ac:dyDescent="0.45">
      <c r="D87" s="2"/>
      <c r="E87" s="2"/>
      <c r="F87" s="4"/>
      <c r="G87" s="4"/>
      <c r="H87" s="4"/>
    </row>
    <row r="88" spans="4:8" x14ac:dyDescent="0.45">
      <c r="D88" s="2"/>
      <c r="E88" s="2"/>
      <c r="F88" s="4"/>
      <c r="G88" s="4"/>
      <c r="H88" s="4"/>
    </row>
    <row r="89" spans="4:8" x14ac:dyDescent="0.45">
      <c r="D89" s="2"/>
      <c r="E89" s="2"/>
      <c r="F89" s="4"/>
      <c r="G89" s="4"/>
      <c r="H89" s="4"/>
    </row>
    <row r="90" spans="4:8" x14ac:dyDescent="0.45">
      <c r="D90" s="2"/>
      <c r="E90" s="2"/>
      <c r="F90" s="4"/>
      <c r="G90" s="4"/>
      <c r="H90" s="4"/>
    </row>
    <row r="91" spans="4:8" x14ac:dyDescent="0.45">
      <c r="D91" s="2"/>
      <c r="E91" s="2"/>
      <c r="F91" s="4"/>
      <c r="G91" s="4"/>
      <c r="H91" s="4"/>
    </row>
    <row r="92" spans="4:8" x14ac:dyDescent="0.45">
      <c r="D92" s="2"/>
      <c r="E92" s="2"/>
      <c r="F92" s="4"/>
      <c r="G92" s="4"/>
      <c r="H92" s="4"/>
    </row>
    <row r="93" spans="4:8" x14ac:dyDescent="0.45">
      <c r="D93" s="2"/>
      <c r="E93" s="2"/>
      <c r="F93" s="4"/>
      <c r="G93" s="4"/>
      <c r="H93" s="4"/>
    </row>
    <row r="94" spans="4:8" x14ac:dyDescent="0.45">
      <c r="D94" s="2"/>
      <c r="E94" s="2"/>
      <c r="F94" s="4"/>
      <c r="G94" s="4"/>
      <c r="H94" s="4"/>
    </row>
    <row r="95" spans="4:8" x14ac:dyDescent="0.45">
      <c r="D95" s="2"/>
      <c r="E95" s="2"/>
      <c r="F95" s="4"/>
      <c r="G95" s="4"/>
      <c r="H95" s="4"/>
    </row>
    <row r="96" spans="4:8" x14ac:dyDescent="0.45">
      <c r="D96" s="2"/>
      <c r="E96" s="2"/>
      <c r="F96" s="4"/>
      <c r="G96" s="4"/>
      <c r="H96" s="4"/>
    </row>
    <row r="97" spans="4:8" x14ac:dyDescent="0.45">
      <c r="D97" s="2"/>
      <c r="E97" s="2"/>
      <c r="F97" s="4"/>
      <c r="G97" s="4"/>
      <c r="H97" s="4"/>
    </row>
    <row r="98" spans="4:8" x14ac:dyDescent="0.45">
      <c r="D98" s="2"/>
      <c r="E98" s="2"/>
      <c r="F98" s="4"/>
      <c r="G98" s="4"/>
      <c r="H98" s="4"/>
    </row>
    <row r="99" spans="4:8" x14ac:dyDescent="0.45">
      <c r="D99" s="2"/>
      <c r="E99" s="2"/>
      <c r="F99" s="4"/>
      <c r="G99" s="4"/>
      <c r="H99" s="4"/>
    </row>
    <row r="100" spans="4:8" x14ac:dyDescent="0.45">
      <c r="D100" s="2"/>
      <c r="E100" s="2"/>
      <c r="F100" s="4"/>
      <c r="G100" s="4"/>
      <c r="H100" s="4"/>
    </row>
    <row r="101" spans="4:8" x14ac:dyDescent="0.45">
      <c r="D101" s="2"/>
      <c r="E101" s="2"/>
      <c r="F101" s="4"/>
      <c r="G101" s="4"/>
      <c r="H101" s="4"/>
    </row>
    <row r="102" spans="4:8" x14ac:dyDescent="0.45">
      <c r="D102" s="2"/>
      <c r="E102" s="2"/>
      <c r="F102" s="4"/>
      <c r="G102" s="4"/>
      <c r="H102" s="4"/>
    </row>
    <row r="103" spans="4:8" x14ac:dyDescent="0.45">
      <c r="D103" s="2"/>
      <c r="E103" s="2"/>
      <c r="F103" s="4"/>
      <c r="G103" s="4"/>
      <c r="H103" s="4"/>
    </row>
    <row r="104" spans="4:8" x14ac:dyDescent="0.45">
      <c r="D104" s="2"/>
      <c r="E104" s="2"/>
      <c r="F104" s="4"/>
      <c r="G104" s="4"/>
      <c r="H104" s="4"/>
    </row>
    <row r="105" spans="4:8" x14ac:dyDescent="0.45">
      <c r="D105" s="2"/>
      <c r="E105" s="2"/>
      <c r="F105" s="4"/>
      <c r="G105" s="4"/>
      <c r="H105" s="4"/>
    </row>
    <row r="106" spans="4:8" x14ac:dyDescent="0.45">
      <c r="D106" s="2"/>
      <c r="E106" s="2"/>
      <c r="F106" s="4"/>
      <c r="G106" s="4"/>
      <c r="H106" s="4"/>
    </row>
    <row r="107" spans="4:8" x14ac:dyDescent="0.45">
      <c r="D107" s="2"/>
      <c r="E107" s="2"/>
      <c r="F107" s="4"/>
      <c r="G107" s="4"/>
      <c r="H107" s="4"/>
    </row>
    <row r="108" spans="4:8" x14ac:dyDescent="0.45">
      <c r="D108" s="2"/>
      <c r="E108" s="2"/>
      <c r="F108" s="4"/>
      <c r="G108" s="4"/>
      <c r="H108" s="4"/>
    </row>
    <row r="109" spans="4:8" x14ac:dyDescent="0.45">
      <c r="D109" s="2"/>
      <c r="E109" s="2"/>
      <c r="F109" s="4"/>
      <c r="G109" s="4"/>
      <c r="H109" s="4"/>
    </row>
    <row r="110" spans="4:8" x14ac:dyDescent="0.45">
      <c r="D110" s="2"/>
      <c r="E110" s="2"/>
      <c r="F110" s="4"/>
      <c r="G110" s="4"/>
      <c r="H110" s="4"/>
    </row>
    <row r="111" spans="4:8" x14ac:dyDescent="0.45">
      <c r="D111" s="2"/>
      <c r="E111" s="2"/>
      <c r="F111" s="4"/>
      <c r="G111" s="4"/>
      <c r="H111" s="4"/>
    </row>
    <row r="112" spans="4:8" x14ac:dyDescent="0.45">
      <c r="D112" s="2"/>
      <c r="E112" s="2"/>
      <c r="F112" s="4"/>
      <c r="G112" s="4"/>
      <c r="H112" s="4"/>
    </row>
    <row r="113" spans="4:8" x14ac:dyDescent="0.45">
      <c r="D113" s="2"/>
      <c r="E113" s="2"/>
      <c r="F113" s="4"/>
      <c r="G113" s="4"/>
      <c r="H113" s="4"/>
    </row>
    <row r="114" spans="4:8" x14ac:dyDescent="0.45">
      <c r="D114" s="2"/>
      <c r="E114" s="2"/>
      <c r="F114" s="4"/>
      <c r="G114" s="4"/>
      <c r="H114" s="4"/>
    </row>
    <row r="115" spans="4:8" x14ac:dyDescent="0.45">
      <c r="D115" s="2"/>
      <c r="E115" s="2"/>
      <c r="F115" s="4"/>
      <c r="G115" s="4"/>
      <c r="H115" s="4"/>
    </row>
    <row r="116" spans="4:8" x14ac:dyDescent="0.45">
      <c r="D116" s="2"/>
      <c r="E116" s="2"/>
      <c r="F116" s="4"/>
      <c r="G116" s="4"/>
      <c r="H116" s="4"/>
    </row>
    <row r="117" spans="4:8" x14ac:dyDescent="0.45">
      <c r="D117" s="2"/>
      <c r="E117" s="2"/>
      <c r="F117" s="4"/>
      <c r="G117" s="4"/>
      <c r="H117" s="4"/>
    </row>
    <row r="118" spans="4:8" x14ac:dyDescent="0.45">
      <c r="D118" s="2"/>
      <c r="E118" s="2"/>
      <c r="F118" s="4"/>
      <c r="G118" s="4"/>
      <c r="H118" s="4"/>
    </row>
    <row r="119" spans="4:8" x14ac:dyDescent="0.45">
      <c r="D119" s="2"/>
      <c r="E119" s="2"/>
      <c r="F119" s="4"/>
      <c r="G119" s="4"/>
      <c r="H119" s="4"/>
    </row>
    <row r="120" spans="4:8" x14ac:dyDescent="0.45">
      <c r="D120" s="2"/>
      <c r="E120" s="2"/>
      <c r="F120" s="4"/>
      <c r="G120" s="4"/>
      <c r="H120" s="4"/>
    </row>
    <row r="121" spans="4:8" x14ac:dyDescent="0.45">
      <c r="D121" s="2"/>
      <c r="E121" s="2"/>
      <c r="F121" s="4"/>
      <c r="G121" s="4"/>
      <c r="H121" s="4"/>
    </row>
    <row r="122" spans="4:8" x14ac:dyDescent="0.45">
      <c r="D122" s="2"/>
      <c r="E122" s="2"/>
      <c r="F122" s="4"/>
      <c r="G122" s="4"/>
      <c r="H122" s="4"/>
    </row>
    <row r="123" spans="4:8" x14ac:dyDescent="0.45">
      <c r="D123" s="2"/>
      <c r="E123" s="2"/>
      <c r="F123" s="4"/>
      <c r="G123" s="4"/>
      <c r="H123" s="4"/>
    </row>
    <row r="124" spans="4:8" x14ac:dyDescent="0.45">
      <c r="D124" s="2"/>
      <c r="E124" s="2"/>
      <c r="F124" s="4"/>
      <c r="G124" s="4"/>
      <c r="H124" s="4"/>
    </row>
    <row r="125" spans="4:8" x14ac:dyDescent="0.45">
      <c r="D125" s="2"/>
      <c r="E125" s="2"/>
      <c r="F125" s="4"/>
      <c r="G125" s="4"/>
      <c r="H125" s="4"/>
    </row>
    <row r="126" spans="4:8" x14ac:dyDescent="0.45">
      <c r="D126" s="2"/>
      <c r="E126" s="2"/>
      <c r="F126" s="4"/>
      <c r="G126" s="4"/>
      <c r="H126" s="4"/>
    </row>
    <row r="127" spans="4:8" x14ac:dyDescent="0.45">
      <c r="D127" s="2"/>
      <c r="E127" s="2"/>
      <c r="F127" s="4"/>
      <c r="G127" s="4"/>
      <c r="H127" s="4"/>
    </row>
    <row r="128" spans="4:8" x14ac:dyDescent="0.45">
      <c r="D128" s="2"/>
      <c r="E128" s="2"/>
      <c r="F128" s="4"/>
      <c r="G128" s="4"/>
      <c r="H128" s="4"/>
    </row>
    <row r="129" spans="4:8" x14ac:dyDescent="0.45">
      <c r="D129" s="2"/>
      <c r="E129" s="2"/>
      <c r="F129" s="4"/>
      <c r="G129" s="4"/>
      <c r="H129" s="4"/>
    </row>
    <row r="130" spans="4:8" x14ac:dyDescent="0.45">
      <c r="D130" s="2"/>
      <c r="E130" s="2"/>
      <c r="F130" s="4"/>
      <c r="G130" s="4"/>
      <c r="H130" s="4"/>
    </row>
    <row r="131" spans="4:8" x14ac:dyDescent="0.45">
      <c r="D131" s="2"/>
      <c r="E131" s="2"/>
      <c r="F131" s="4"/>
      <c r="G131" s="4"/>
      <c r="H131" s="4"/>
    </row>
    <row r="132" spans="4:8" x14ac:dyDescent="0.45">
      <c r="D132" s="2"/>
      <c r="E132" s="2"/>
      <c r="F132" s="4"/>
      <c r="G132" s="4"/>
      <c r="H132" s="4"/>
    </row>
    <row r="133" spans="4:8" x14ac:dyDescent="0.45">
      <c r="D133" s="2"/>
      <c r="E133" s="2"/>
      <c r="F133" s="4"/>
      <c r="G133" s="4"/>
      <c r="H133" s="4"/>
    </row>
    <row r="134" spans="4:8" x14ac:dyDescent="0.45">
      <c r="D134" s="2"/>
      <c r="E134" s="2"/>
      <c r="F134" s="4"/>
      <c r="G134" s="4"/>
      <c r="H134" s="4"/>
    </row>
    <row r="135" spans="4:8" x14ac:dyDescent="0.45">
      <c r="D135" s="2"/>
      <c r="E135" s="2"/>
      <c r="F135" s="4"/>
      <c r="G135" s="4"/>
      <c r="H135" s="4"/>
    </row>
    <row r="136" spans="4:8" x14ac:dyDescent="0.45">
      <c r="D136" s="2"/>
      <c r="E136" s="2"/>
      <c r="F136" s="4"/>
      <c r="G136" s="4"/>
      <c r="H136" s="4"/>
    </row>
    <row r="137" spans="4:8" x14ac:dyDescent="0.45">
      <c r="D137" s="2"/>
      <c r="E137" s="2"/>
      <c r="F137" s="4"/>
      <c r="G137" s="4"/>
      <c r="H137" s="4"/>
    </row>
    <row r="138" spans="4:8" x14ac:dyDescent="0.45">
      <c r="D138" s="2"/>
      <c r="E138" s="2"/>
      <c r="F138" s="4"/>
      <c r="G138" s="4"/>
      <c r="H138" s="4"/>
    </row>
    <row r="139" spans="4:8" x14ac:dyDescent="0.45">
      <c r="D139" s="2"/>
      <c r="E139" s="2"/>
      <c r="F139" s="4"/>
      <c r="G139" s="4"/>
      <c r="H139" s="4"/>
    </row>
    <row r="140" spans="4:8" x14ac:dyDescent="0.45">
      <c r="D140" s="2"/>
      <c r="E140" s="2"/>
      <c r="F140" s="4"/>
      <c r="G140" s="4"/>
      <c r="H140" s="4"/>
    </row>
    <row r="141" spans="4:8" x14ac:dyDescent="0.45">
      <c r="D141" s="2"/>
      <c r="E141" s="2"/>
      <c r="F141" s="4"/>
      <c r="G141" s="4"/>
      <c r="H141" s="4"/>
    </row>
    <row r="142" spans="4:8" x14ac:dyDescent="0.45">
      <c r="D142" s="2"/>
      <c r="E142" s="2"/>
      <c r="F142" s="4"/>
      <c r="G142" s="4"/>
      <c r="H142" s="4"/>
    </row>
    <row r="143" spans="4:8" x14ac:dyDescent="0.45">
      <c r="D143" s="2"/>
      <c r="E143" s="2"/>
      <c r="F143" s="4"/>
      <c r="G143" s="4"/>
      <c r="H143" s="4"/>
    </row>
    <row r="144" spans="4:8" x14ac:dyDescent="0.45">
      <c r="D144" s="2"/>
      <c r="E144" s="2"/>
      <c r="F144" s="4"/>
      <c r="G144" s="4"/>
      <c r="H144" s="4"/>
    </row>
    <row r="145" spans="4:8" x14ac:dyDescent="0.45">
      <c r="D145" s="2"/>
      <c r="E145" s="2"/>
      <c r="F145" s="4"/>
      <c r="G145" s="4"/>
      <c r="H145" s="4"/>
    </row>
    <row r="146" spans="4:8" x14ac:dyDescent="0.45">
      <c r="D146" s="2"/>
      <c r="E146" s="2"/>
      <c r="F146" s="4"/>
      <c r="G146" s="4"/>
      <c r="H146" s="4"/>
    </row>
    <row r="147" spans="4:8" x14ac:dyDescent="0.45">
      <c r="D147" s="2"/>
      <c r="E147" s="2"/>
      <c r="F147" s="4"/>
      <c r="G147" s="4"/>
      <c r="H147" s="4"/>
    </row>
    <row r="148" spans="4:8" x14ac:dyDescent="0.45">
      <c r="D148" s="2"/>
      <c r="E148" s="2"/>
      <c r="F148" s="4"/>
      <c r="G148" s="4"/>
      <c r="H148" s="4"/>
    </row>
    <row r="149" spans="4:8" x14ac:dyDescent="0.45">
      <c r="D149" s="2"/>
      <c r="E149" s="2"/>
      <c r="F149" s="4"/>
      <c r="G149" s="4"/>
      <c r="H149" s="4"/>
    </row>
    <row r="150" spans="4:8" x14ac:dyDescent="0.45">
      <c r="D150" s="2"/>
      <c r="E150" s="2"/>
      <c r="F150" s="4"/>
      <c r="G150" s="4"/>
      <c r="H150" s="4"/>
    </row>
    <row r="151" spans="4:8" x14ac:dyDescent="0.45">
      <c r="D151" s="2"/>
      <c r="E151" s="2"/>
      <c r="F151" s="4"/>
      <c r="G151" s="4"/>
      <c r="H151" s="4"/>
    </row>
    <row r="152" spans="4:8" x14ac:dyDescent="0.45">
      <c r="D152" s="2"/>
      <c r="E152" s="2"/>
      <c r="F152" s="4"/>
      <c r="G152" s="4"/>
      <c r="H152" s="4"/>
    </row>
    <row r="153" spans="4:8" x14ac:dyDescent="0.45">
      <c r="D153" s="2"/>
      <c r="E153" s="2"/>
      <c r="F153" s="4"/>
      <c r="G153" s="4"/>
      <c r="H153" s="4"/>
    </row>
    <row r="154" spans="4:8" x14ac:dyDescent="0.45">
      <c r="D154" s="2"/>
      <c r="E154" s="2"/>
      <c r="F154" s="4"/>
      <c r="G154" s="4"/>
      <c r="H154" s="4"/>
    </row>
    <row r="155" spans="4:8" x14ac:dyDescent="0.45">
      <c r="D155" s="2"/>
      <c r="E155" s="2"/>
      <c r="F155" s="4"/>
      <c r="G155" s="4"/>
      <c r="H155" s="4"/>
    </row>
    <row r="156" spans="4:8" x14ac:dyDescent="0.45">
      <c r="D156" s="2"/>
      <c r="E156" s="2"/>
      <c r="F156" s="4"/>
      <c r="G156" s="4"/>
      <c r="H156" s="4"/>
    </row>
    <row r="157" spans="4:8" x14ac:dyDescent="0.45">
      <c r="D157" s="2"/>
      <c r="E157" s="2"/>
      <c r="F157" s="4"/>
      <c r="G157" s="4"/>
      <c r="H157" s="4"/>
    </row>
    <row r="158" spans="4:8" x14ac:dyDescent="0.45">
      <c r="D158" s="2"/>
      <c r="E158" s="2"/>
      <c r="F158" s="4"/>
      <c r="G158" s="4"/>
      <c r="H158" s="4"/>
    </row>
    <row r="159" spans="4:8" x14ac:dyDescent="0.45">
      <c r="D159" s="2"/>
      <c r="E159" s="2"/>
      <c r="F159" s="4"/>
      <c r="G159" s="4"/>
      <c r="H159" s="4"/>
    </row>
    <row r="160" spans="4:8" x14ac:dyDescent="0.45">
      <c r="D160" s="2"/>
      <c r="E160" s="2"/>
      <c r="F160" s="4"/>
      <c r="G160" s="4"/>
      <c r="H160" s="4"/>
    </row>
    <row r="161" spans="4:8" x14ac:dyDescent="0.45">
      <c r="D161" s="2"/>
      <c r="E161" s="2"/>
      <c r="F161" s="4"/>
      <c r="G161" s="4"/>
      <c r="H161" s="4"/>
    </row>
    <row r="162" spans="4:8" x14ac:dyDescent="0.45">
      <c r="D162" s="2"/>
      <c r="E162" s="2"/>
      <c r="F162" s="4"/>
      <c r="G162" s="4"/>
      <c r="H162" s="4"/>
    </row>
    <row r="163" spans="4:8" x14ac:dyDescent="0.45">
      <c r="D163" s="2"/>
      <c r="E163" s="2"/>
      <c r="F163" s="4"/>
      <c r="G163" s="4"/>
      <c r="H163" s="4"/>
    </row>
    <row r="164" spans="4:8" x14ac:dyDescent="0.45">
      <c r="D164" s="2"/>
      <c r="E164" s="2"/>
      <c r="F164" s="4"/>
      <c r="G164" s="4"/>
      <c r="H164" s="4"/>
    </row>
    <row r="165" spans="4:8" x14ac:dyDescent="0.45">
      <c r="D165" s="2"/>
      <c r="E165" s="2"/>
      <c r="F165" s="4"/>
      <c r="G165" s="4"/>
      <c r="H165" s="4"/>
    </row>
    <row r="166" spans="4:8" x14ac:dyDescent="0.45">
      <c r="D166" s="2"/>
      <c r="E166" s="2"/>
      <c r="F166" s="4"/>
      <c r="G166" s="4"/>
      <c r="H166" s="4"/>
    </row>
    <row r="167" spans="4:8" x14ac:dyDescent="0.45">
      <c r="D167" s="2"/>
      <c r="E167" s="2"/>
      <c r="F167" s="4"/>
      <c r="G167" s="4"/>
      <c r="H167" s="4"/>
    </row>
    <row r="168" spans="4:8" x14ac:dyDescent="0.45">
      <c r="D168" s="2"/>
      <c r="E168" s="2"/>
      <c r="F168" s="4"/>
      <c r="G168" s="4"/>
      <c r="H168" s="4"/>
    </row>
    <row r="169" spans="4:8" x14ac:dyDescent="0.45">
      <c r="H169" s="4"/>
    </row>
  </sheetData>
  <mergeCells count="11">
    <mergeCell ref="J9:J13"/>
    <mergeCell ref="J14:J15"/>
    <mergeCell ref="J16:J18"/>
    <mergeCell ref="J19:J21"/>
    <mergeCell ref="J22:J26"/>
    <mergeCell ref="E2:E7"/>
    <mergeCell ref="E9:E13"/>
    <mergeCell ref="E14:E15"/>
    <mergeCell ref="E16:E18"/>
    <mergeCell ref="E19:E21"/>
    <mergeCell ref="E22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workbookViewId="0">
      <pane ySplit="1" topLeftCell="A8" activePane="bottomLeft" state="frozen"/>
      <selection pane="bottomLeft" activeCell="A37" sqref="A37"/>
    </sheetView>
  </sheetViews>
  <sheetFormatPr defaultRowHeight="14.25" x14ac:dyDescent="0.45"/>
  <cols>
    <col min="1" max="1" width="34.6640625" style="1" customWidth="1"/>
    <col min="2" max="2" width="72.265625" style="1" customWidth="1"/>
    <col min="3" max="3" width="7.6640625" style="1" bestFit="1" customWidth="1"/>
    <col min="4" max="4" width="11.9296875" style="1" bestFit="1" customWidth="1"/>
    <col min="5" max="5" width="9.19921875" style="1" bestFit="1" customWidth="1"/>
    <col min="6" max="7" width="11.265625" style="1" bestFit="1" customWidth="1"/>
    <col min="8" max="8" width="17.6640625" style="1" bestFit="1" customWidth="1"/>
    <col min="9" max="9" width="0" style="1" hidden="1" customWidth="1"/>
    <col min="10" max="10" width="9.265625" style="1" bestFit="1" customWidth="1"/>
    <col min="11" max="16384" width="9.06640625" style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 t="s">
        <v>74</v>
      </c>
      <c r="B2" s="1" t="s">
        <v>75</v>
      </c>
      <c r="C2" s="1">
        <v>5</v>
      </c>
      <c r="D2" s="2">
        <v>43571</v>
      </c>
      <c r="E2" s="2">
        <v>43616</v>
      </c>
      <c r="F2" s="4">
        <v>0</v>
      </c>
      <c r="G2" s="4">
        <v>743.39</v>
      </c>
      <c r="H2" s="4">
        <v>-743.39</v>
      </c>
      <c r="I2" s="1" t="s">
        <v>11</v>
      </c>
    </row>
    <row r="3" spans="1:9" x14ac:dyDescent="0.45">
      <c r="A3" s="1" t="s">
        <v>74</v>
      </c>
      <c r="B3" s="1" t="s">
        <v>75</v>
      </c>
      <c r="C3" s="1">
        <v>5</v>
      </c>
      <c r="D3" s="2">
        <v>43586</v>
      </c>
      <c r="E3" s="2">
        <v>43616</v>
      </c>
      <c r="F3" s="4">
        <v>0</v>
      </c>
      <c r="G3" s="4">
        <v>558.39</v>
      </c>
      <c r="H3" s="4">
        <v>-558.39</v>
      </c>
      <c r="I3" s="1" t="s">
        <v>11</v>
      </c>
    </row>
    <row r="4" spans="1:9" x14ac:dyDescent="0.45">
      <c r="A4" s="1" t="s">
        <v>120</v>
      </c>
      <c r="B4" s="1" t="s">
        <v>121</v>
      </c>
      <c r="C4" s="1">
        <v>5</v>
      </c>
      <c r="D4" s="2">
        <v>43580</v>
      </c>
      <c r="E4" s="2">
        <v>43609</v>
      </c>
      <c r="F4" s="4">
        <v>0</v>
      </c>
      <c r="G4" s="4">
        <v>633.39</v>
      </c>
      <c r="H4" s="4">
        <v>-633.39</v>
      </c>
      <c r="I4" s="1" t="s">
        <v>11</v>
      </c>
    </row>
    <row r="5" spans="1:9" x14ac:dyDescent="0.45">
      <c r="A5" s="1" t="s">
        <v>120</v>
      </c>
      <c r="B5" s="1" t="s">
        <v>121</v>
      </c>
      <c r="C5" s="1">
        <v>15</v>
      </c>
      <c r="D5" s="2">
        <v>43584</v>
      </c>
      <c r="E5" s="2">
        <v>43609</v>
      </c>
      <c r="F5" s="4">
        <v>0</v>
      </c>
      <c r="G5" s="4">
        <v>390.28</v>
      </c>
      <c r="H5" s="4">
        <v>-390.28</v>
      </c>
      <c r="I5" s="1" t="s">
        <v>11</v>
      </c>
    </row>
    <row r="6" spans="1:9" x14ac:dyDescent="0.45">
      <c r="A6" s="1" t="s">
        <v>120</v>
      </c>
      <c r="B6" s="1" t="s">
        <v>121</v>
      </c>
      <c r="C6" s="1">
        <v>10</v>
      </c>
      <c r="D6" s="2">
        <v>43593</v>
      </c>
      <c r="E6" s="2">
        <v>43609</v>
      </c>
      <c r="F6" s="4">
        <v>0</v>
      </c>
      <c r="G6" s="4">
        <v>281.83999999999997</v>
      </c>
      <c r="H6" s="4">
        <v>-281.83999999999997</v>
      </c>
      <c r="I6" s="1" t="s">
        <v>11</v>
      </c>
    </row>
    <row r="7" spans="1:9" x14ac:dyDescent="0.45">
      <c r="A7" s="1" t="s">
        <v>126</v>
      </c>
      <c r="B7" s="1" t="s">
        <v>127</v>
      </c>
      <c r="C7" s="1">
        <v>5</v>
      </c>
      <c r="D7" s="2">
        <v>43577</v>
      </c>
      <c r="E7" s="2">
        <v>43609</v>
      </c>
      <c r="F7" s="4">
        <v>0</v>
      </c>
      <c r="G7" s="4">
        <v>258.39</v>
      </c>
      <c r="H7" s="4">
        <v>-258.39</v>
      </c>
      <c r="I7" s="1" t="s">
        <v>11</v>
      </c>
    </row>
    <row r="8" spans="1:9" x14ac:dyDescent="0.45">
      <c r="A8" s="1" t="s">
        <v>126</v>
      </c>
      <c r="B8" s="1" t="s">
        <v>127</v>
      </c>
      <c r="C8" s="1">
        <v>5</v>
      </c>
      <c r="D8" s="2">
        <v>43577</v>
      </c>
      <c r="E8" s="2">
        <v>43609</v>
      </c>
      <c r="F8" s="4">
        <v>0</v>
      </c>
      <c r="G8" s="4">
        <v>228.39</v>
      </c>
      <c r="H8" s="4">
        <v>-228.39</v>
      </c>
      <c r="I8" s="1" t="s">
        <v>11</v>
      </c>
    </row>
    <row r="9" spans="1:9" x14ac:dyDescent="0.45">
      <c r="A9" s="1" t="s">
        <v>126</v>
      </c>
      <c r="B9" s="1" t="s">
        <v>127</v>
      </c>
      <c r="C9" s="1">
        <v>5</v>
      </c>
      <c r="D9" s="2">
        <v>43579</v>
      </c>
      <c r="E9" s="2">
        <v>43609</v>
      </c>
      <c r="F9" s="4">
        <v>0</v>
      </c>
      <c r="G9" s="4">
        <v>208.39</v>
      </c>
      <c r="H9" s="4">
        <v>-208.39</v>
      </c>
      <c r="I9" s="1" t="s">
        <v>11</v>
      </c>
    </row>
    <row r="10" spans="1:9" x14ac:dyDescent="0.45">
      <c r="A10" s="1" t="s">
        <v>176</v>
      </c>
      <c r="B10" s="1" t="s">
        <v>177</v>
      </c>
      <c r="C10" s="1">
        <v>5</v>
      </c>
      <c r="D10" s="2">
        <v>43586</v>
      </c>
      <c r="E10" s="2">
        <v>43609</v>
      </c>
      <c r="F10" s="4">
        <v>2666.55</v>
      </c>
      <c r="G10" s="4">
        <v>1978.39</v>
      </c>
      <c r="H10" s="4">
        <v>688.16</v>
      </c>
      <c r="I10" s="1" t="s">
        <v>11</v>
      </c>
    </row>
    <row r="11" spans="1:9" x14ac:dyDescent="0.45">
      <c r="A11" s="1" t="s">
        <v>158</v>
      </c>
      <c r="B11" s="1" t="s">
        <v>159</v>
      </c>
      <c r="C11" s="1">
        <v>5</v>
      </c>
      <c r="D11" s="2">
        <v>43594</v>
      </c>
      <c r="E11" s="2">
        <v>43608</v>
      </c>
      <c r="F11" s="4">
        <v>591.59</v>
      </c>
      <c r="G11" s="4">
        <v>483.39</v>
      </c>
      <c r="H11" s="4">
        <v>108.2</v>
      </c>
      <c r="I11" s="1" t="s">
        <v>11</v>
      </c>
    </row>
    <row r="12" spans="1:9" x14ac:dyDescent="0.45">
      <c r="A12" s="1" t="s">
        <v>124</v>
      </c>
      <c r="B12" s="1" t="s">
        <v>125</v>
      </c>
      <c r="C12" s="1">
        <v>1</v>
      </c>
      <c r="D12" s="2">
        <v>43573</v>
      </c>
      <c r="E12" s="2">
        <v>43602</v>
      </c>
      <c r="F12" s="4">
        <v>0</v>
      </c>
      <c r="G12" s="4">
        <v>84.99</v>
      </c>
      <c r="H12" s="4">
        <v>-84.99</v>
      </c>
      <c r="I12" s="1" t="s">
        <v>11</v>
      </c>
    </row>
    <row r="13" spans="1:9" x14ac:dyDescent="0.45">
      <c r="A13" s="1" t="s">
        <v>124</v>
      </c>
      <c r="B13" s="1" t="s">
        <v>125</v>
      </c>
      <c r="C13" s="1">
        <v>4</v>
      </c>
      <c r="D13" s="2">
        <v>43573</v>
      </c>
      <c r="E13" s="2">
        <v>43602</v>
      </c>
      <c r="F13" s="4">
        <v>0</v>
      </c>
      <c r="G13" s="4">
        <v>327.41000000000003</v>
      </c>
      <c r="H13" s="4">
        <v>-327.41000000000003</v>
      </c>
      <c r="I13" s="1" t="s">
        <v>11</v>
      </c>
    </row>
    <row r="14" spans="1:9" x14ac:dyDescent="0.45">
      <c r="A14" s="1" t="s">
        <v>124</v>
      </c>
      <c r="B14" s="1" t="s">
        <v>125</v>
      </c>
      <c r="C14" s="1">
        <v>5</v>
      </c>
      <c r="D14" s="2">
        <v>43577</v>
      </c>
      <c r="E14" s="2">
        <v>43602</v>
      </c>
      <c r="F14" s="4">
        <v>0</v>
      </c>
      <c r="G14" s="4">
        <v>243.39</v>
      </c>
      <c r="H14" s="4">
        <v>-243.39</v>
      </c>
      <c r="I14" s="1" t="s">
        <v>11</v>
      </c>
    </row>
    <row r="15" spans="1:9" x14ac:dyDescent="0.45">
      <c r="A15" s="1" t="s">
        <v>124</v>
      </c>
      <c r="B15" s="1" t="s">
        <v>125</v>
      </c>
      <c r="C15" s="1">
        <v>2</v>
      </c>
      <c r="D15" s="2">
        <v>43598</v>
      </c>
      <c r="E15" s="2">
        <v>43602</v>
      </c>
      <c r="F15" s="4">
        <v>0</v>
      </c>
      <c r="G15" s="4">
        <v>27.03</v>
      </c>
      <c r="H15" s="4">
        <v>-27.03</v>
      </c>
      <c r="I15" s="1" t="s">
        <v>11</v>
      </c>
    </row>
    <row r="16" spans="1:9" x14ac:dyDescent="0.45">
      <c r="A16" s="1" t="s">
        <v>124</v>
      </c>
      <c r="B16" s="1" t="s">
        <v>125</v>
      </c>
      <c r="C16" s="1">
        <v>8</v>
      </c>
      <c r="D16" s="2">
        <v>43598</v>
      </c>
      <c r="E16" s="2">
        <v>43602</v>
      </c>
      <c r="F16" s="4">
        <v>0</v>
      </c>
      <c r="G16" s="4">
        <v>88.86</v>
      </c>
      <c r="H16" s="4">
        <v>-88.86</v>
      </c>
      <c r="I16" s="1" t="s">
        <v>11</v>
      </c>
    </row>
    <row r="17" spans="1:9" x14ac:dyDescent="0.45">
      <c r="A17" s="1" t="s">
        <v>174</v>
      </c>
      <c r="B17" s="1" t="s">
        <v>175</v>
      </c>
      <c r="C17" s="1">
        <v>5</v>
      </c>
      <c r="D17" s="2">
        <v>43515</v>
      </c>
      <c r="E17" s="2">
        <v>43602</v>
      </c>
      <c r="F17" s="4">
        <v>0</v>
      </c>
      <c r="G17" s="4">
        <v>783.39</v>
      </c>
      <c r="H17" s="4">
        <v>-783.39</v>
      </c>
      <c r="I17" s="1" t="s">
        <v>11</v>
      </c>
    </row>
    <row r="18" spans="1:9" x14ac:dyDescent="0.45">
      <c r="A18" s="1" t="s">
        <v>174</v>
      </c>
      <c r="B18" s="1" t="s">
        <v>175</v>
      </c>
      <c r="C18" s="1">
        <v>3</v>
      </c>
      <c r="D18" s="2">
        <v>43592</v>
      </c>
      <c r="E18" s="2">
        <v>43602</v>
      </c>
      <c r="F18" s="4">
        <v>0</v>
      </c>
      <c r="G18" s="4">
        <v>367.02</v>
      </c>
      <c r="H18" s="4">
        <v>-367.02</v>
      </c>
      <c r="I18" s="1" t="s">
        <v>11</v>
      </c>
    </row>
    <row r="19" spans="1:9" x14ac:dyDescent="0.45">
      <c r="A19" s="1" t="s">
        <v>182</v>
      </c>
      <c r="B19" s="1" t="s">
        <v>183</v>
      </c>
      <c r="C19" s="1">
        <v>5</v>
      </c>
      <c r="D19" s="2">
        <v>43592</v>
      </c>
      <c r="E19" s="2">
        <v>43602</v>
      </c>
      <c r="F19" s="4">
        <v>0</v>
      </c>
      <c r="G19" s="4">
        <v>988.39</v>
      </c>
      <c r="H19" s="4">
        <v>-988.39</v>
      </c>
      <c r="I19" s="1" t="s">
        <v>11</v>
      </c>
    </row>
    <row r="20" spans="1:9" x14ac:dyDescent="0.45">
      <c r="A20" s="1" t="s">
        <v>184</v>
      </c>
      <c r="B20" s="1" t="s">
        <v>185</v>
      </c>
      <c r="C20" s="1">
        <v>2</v>
      </c>
      <c r="D20" s="2">
        <v>43586</v>
      </c>
      <c r="E20" s="2">
        <v>43602</v>
      </c>
      <c r="F20" s="4">
        <v>0</v>
      </c>
      <c r="G20" s="4">
        <v>342.33</v>
      </c>
      <c r="H20" s="4">
        <v>-342.33</v>
      </c>
      <c r="I20" s="1" t="s">
        <v>11</v>
      </c>
    </row>
    <row r="21" spans="1:9" x14ac:dyDescent="0.45">
      <c r="A21" s="1" t="s">
        <v>184</v>
      </c>
      <c r="B21" s="1" t="s">
        <v>185</v>
      </c>
      <c r="C21" s="1">
        <v>3</v>
      </c>
      <c r="D21" s="2">
        <v>43587</v>
      </c>
      <c r="E21" s="2">
        <v>43602</v>
      </c>
      <c r="F21" s="4">
        <v>0</v>
      </c>
      <c r="G21" s="4">
        <v>400.02</v>
      </c>
      <c r="H21" s="4">
        <v>-400.02</v>
      </c>
      <c r="I21" s="1" t="s">
        <v>11</v>
      </c>
    </row>
    <row r="22" spans="1:9" x14ac:dyDescent="0.45">
      <c r="A22" s="1" t="s">
        <v>184</v>
      </c>
      <c r="B22" s="1" t="s">
        <v>185</v>
      </c>
      <c r="C22" s="1">
        <v>5</v>
      </c>
      <c r="D22" s="2">
        <v>43593</v>
      </c>
      <c r="E22" s="2">
        <v>43602</v>
      </c>
      <c r="F22" s="4">
        <v>0</v>
      </c>
      <c r="G22" s="4">
        <v>120.94</v>
      </c>
      <c r="H22" s="4">
        <v>-120.94</v>
      </c>
      <c r="I22" s="1" t="s">
        <v>11</v>
      </c>
    </row>
    <row r="23" spans="1:9" x14ac:dyDescent="0.45">
      <c r="A23" s="1" t="s">
        <v>216</v>
      </c>
      <c r="B23" s="1" t="s">
        <v>217</v>
      </c>
      <c r="C23" s="1">
        <v>5</v>
      </c>
      <c r="D23" s="2">
        <v>43586</v>
      </c>
      <c r="E23" s="2">
        <v>43602</v>
      </c>
      <c r="F23" s="4">
        <v>0</v>
      </c>
      <c r="G23" s="4">
        <v>1583.39</v>
      </c>
      <c r="H23" s="4">
        <v>-1583.39</v>
      </c>
      <c r="I23" s="1" t="s">
        <v>11</v>
      </c>
    </row>
    <row r="24" spans="1:9" x14ac:dyDescent="0.45">
      <c r="A24" s="1" t="s">
        <v>216</v>
      </c>
      <c r="B24" s="1" t="s">
        <v>217</v>
      </c>
      <c r="C24" s="1">
        <v>10</v>
      </c>
      <c r="D24" s="2">
        <v>43591</v>
      </c>
      <c r="E24" s="2">
        <v>43602</v>
      </c>
      <c r="F24" s="4">
        <v>0</v>
      </c>
      <c r="G24" s="4">
        <v>511.84</v>
      </c>
      <c r="H24" s="4">
        <v>-511.84</v>
      </c>
      <c r="I24" s="1" t="s">
        <v>11</v>
      </c>
    </row>
    <row r="25" spans="1:9" x14ac:dyDescent="0.45">
      <c r="A25" s="1" t="s">
        <v>258</v>
      </c>
      <c r="B25" s="1" t="s">
        <v>259</v>
      </c>
      <c r="C25" s="1">
        <v>10</v>
      </c>
      <c r="D25" s="2">
        <v>43542</v>
      </c>
      <c r="E25" s="2">
        <v>43602</v>
      </c>
      <c r="F25" s="4">
        <v>0</v>
      </c>
      <c r="G25" s="4">
        <v>771.82</v>
      </c>
      <c r="H25" s="4">
        <v>-771.82</v>
      </c>
      <c r="I25" s="1" t="s">
        <v>11</v>
      </c>
    </row>
    <row r="26" spans="1:9" x14ac:dyDescent="0.45">
      <c r="A26" s="1" t="s">
        <v>258</v>
      </c>
      <c r="B26" s="1" t="s">
        <v>259</v>
      </c>
      <c r="C26" s="1">
        <v>10</v>
      </c>
      <c r="D26" s="2">
        <v>43586</v>
      </c>
      <c r="E26" s="2">
        <v>43602</v>
      </c>
      <c r="F26" s="4">
        <v>0</v>
      </c>
      <c r="G26" s="4">
        <v>261.83999999999997</v>
      </c>
      <c r="H26" s="4">
        <v>-261.83999999999997</v>
      </c>
      <c r="I26" s="1" t="s">
        <v>11</v>
      </c>
    </row>
    <row r="27" spans="1:9" x14ac:dyDescent="0.45">
      <c r="A27" s="1" t="s">
        <v>258</v>
      </c>
      <c r="B27" s="1" t="s">
        <v>259</v>
      </c>
      <c r="C27" s="1">
        <v>20</v>
      </c>
      <c r="D27" s="2">
        <v>43592</v>
      </c>
      <c r="E27" s="2">
        <v>43602</v>
      </c>
      <c r="F27" s="4">
        <v>0</v>
      </c>
      <c r="G27" s="4">
        <v>85.73</v>
      </c>
      <c r="H27" s="4">
        <v>-85.73</v>
      </c>
      <c r="I27" s="1" t="s">
        <v>11</v>
      </c>
    </row>
    <row r="28" spans="1:9" x14ac:dyDescent="0.45">
      <c r="A28" s="1" t="s">
        <v>114</v>
      </c>
      <c r="B28" s="1" t="s">
        <v>115</v>
      </c>
      <c r="C28" s="1">
        <v>1</v>
      </c>
      <c r="D28" s="2">
        <v>43578</v>
      </c>
      <c r="E28" s="2">
        <v>43593</v>
      </c>
      <c r="F28" s="4">
        <v>1184.6300000000001</v>
      </c>
      <c r="G28" s="4">
        <v>1155.69</v>
      </c>
      <c r="H28" s="4">
        <v>28.94</v>
      </c>
      <c r="I28" s="1" t="s">
        <v>11</v>
      </c>
    </row>
    <row r="29" spans="1:9" x14ac:dyDescent="0.45">
      <c r="A29" s="1" t="s">
        <v>114</v>
      </c>
      <c r="B29" s="1" t="s">
        <v>115</v>
      </c>
      <c r="C29" s="1">
        <v>2</v>
      </c>
      <c r="D29" s="2">
        <v>43587</v>
      </c>
      <c r="E29" s="2">
        <v>43593</v>
      </c>
      <c r="F29" s="4">
        <v>2369.27</v>
      </c>
      <c r="G29" s="4">
        <v>1606.33</v>
      </c>
      <c r="H29" s="4">
        <v>762.94</v>
      </c>
      <c r="I29" s="1" t="s">
        <v>11</v>
      </c>
    </row>
    <row r="30" spans="1:9" x14ac:dyDescent="0.45">
      <c r="A30" s="1" t="s">
        <v>252</v>
      </c>
      <c r="B30" s="1" t="s">
        <v>253</v>
      </c>
      <c r="C30" s="1">
        <v>1</v>
      </c>
      <c r="D30" s="2">
        <v>43523</v>
      </c>
      <c r="E30" s="2">
        <v>43592</v>
      </c>
      <c r="F30" s="4">
        <v>536.82000000000005</v>
      </c>
      <c r="G30" s="4">
        <v>455.64</v>
      </c>
      <c r="H30" s="4">
        <v>81.180000000000007</v>
      </c>
      <c r="I30" s="1" t="s">
        <v>11</v>
      </c>
    </row>
    <row r="31" spans="1:9" x14ac:dyDescent="0.45">
      <c r="A31" s="1" t="s">
        <v>252</v>
      </c>
      <c r="B31" s="1" t="s">
        <v>253</v>
      </c>
      <c r="C31" s="1">
        <v>1</v>
      </c>
      <c r="D31" s="2">
        <v>43586</v>
      </c>
      <c r="E31" s="2">
        <v>43592</v>
      </c>
      <c r="F31" s="4">
        <v>536.82000000000005</v>
      </c>
      <c r="G31" s="4">
        <v>385.64</v>
      </c>
      <c r="H31" s="4">
        <v>151.18</v>
      </c>
      <c r="I31" s="1" t="s">
        <v>11</v>
      </c>
    </row>
    <row r="32" spans="1:9" x14ac:dyDescent="0.45">
      <c r="A32" s="1" t="s">
        <v>186</v>
      </c>
      <c r="B32" s="1" t="s">
        <v>187</v>
      </c>
      <c r="C32" s="1">
        <v>5</v>
      </c>
      <c r="D32" s="2">
        <v>43570</v>
      </c>
      <c r="E32" s="2">
        <v>43591</v>
      </c>
      <c r="F32" s="4">
        <v>1741.57</v>
      </c>
      <c r="G32" s="4">
        <v>1498.39</v>
      </c>
      <c r="H32" s="4">
        <v>243.18</v>
      </c>
      <c r="I32" s="1" t="s">
        <v>11</v>
      </c>
    </row>
    <row r="33" spans="1:9" x14ac:dyDescent="0.45">
      <c r="A33" s="1" t="s">
        <v>188</v>
      </c>
      <c r="B33" s="1" t="s">
        <v>189</v>
      </c>
      <c r="C33" s="1">
        <v>5</v>
      </c>
      <c r="D33" s="2">
        <v>43570</v>
      </c>
      <c r="E33" s="2">
        <v>43587</v>
      </c>
      <c r="F33" s="4">
        <v>386.55</v>
      </c>
      <c r="G33" s="4">
        <v>363.39</v>
      </c>
      <c r="H33" s="4">
        <v>23.16</v>
      </c>
      <c r="I33" s="1" t="s">
        <v>11</v>
      </c>
    </row>
    <row r="34" spans="1:9" x14ac:dyDescent="0.45">
      <c r="A34" s="1" t="s">
        <v>218</v>
      </c>
      <c r="B34" s="1" t="s">
        <v>219</v>
      </c>
      <c r="C34" s="1">
        <v>5</v>
      </c>
      <c r="D34" s="2">
        <v>43586</v>
      </c>
      <c r="E34" s="2">
        <v>43587</v>
      </c>
      <c r="F34" s="4">
        <v>186.55</v>
      </c>
      <c r="G34" s="4">
        <v>30.19</v>
      </c>
      <c r="H34" s="4">
        <v>156.36000000000001</v>
      </c>
      <c r="I34" s="1" t="s">
        <v>11</v>
      </c>
    </row>
    <row r="35" spans="1:9" x14ac:dyDescent="0.45">
      <c r="A35" s="1" t="s">
        <v>256</v>
      </c>
      <c r="B35" s="1" t="s">
        <v>257</v>
      </c>
      <c r="C35" s="1">
        <v>10</v>
      </c>
      <c r="D35" s="2">
        <v>43537</v>
      </c>
      <c r="E35" s="2">
        <v>43587</v>
      </c>
      <c r="F35" s="4">
        <v>911.44</v>
      </c>
      <c r="G35" s="4">
        <v>426.87</v>
      </c>
      <c r="H35" s="4">
        <v>484.57</v>
      </c>
      <c r="I35" s="1" t="s">
        <v>11</v>
      </c>
    </row>
    <row r="36" spans="1:9" x14ac:dyDescent="0.45">
      <c r="A36" s="1" t="s">
        <v>256</v>
      </c>
      <c r="B36" s="1" t="s">
        <v>257</v>
      </c>
      <c r="C36" s="1">
        <v>10</v>
      </c>
      <c r="D36" s="2">
        <v>43567</v>
      </c>
      <c r="E36" s="2">
        <v>43587</v>
      </c>
      <c r="F36" s="4">
        <v>911.44</v>
      </c>
      <c r="G36" s="4">
        <v>681.84</v>
      </c>
      <c r="H36" s="4">
        <v>229.6</v>
      </c>
      <c r="I36" s="1" t="s">
        <v>11</v>
      </c>
    </row>
    <row r="37" spans="1:9" x14ac:dyDescent="0.45">
      <c r="A37" s="1" t="s">
        <v>256</v>
      </c>
      <c r="B37" s="1" t="s">
        <v>257</v>
      </c>
      <c r="C37" s="1">
        <v>10</v>
      </c>
      <c r="D37" s="2">
        <v>43570</v>
      </c>
      <c r="E37" s="2">
        <v>43587</v>
      </c>
      <c r="F37" s="4">
        <v>911.45</v>
      </c>
      <c r="G37" s="4">
        <v>551.84</v>
      </c>
      <c r="H37" s="4">
        <v>359.61</v>
      </c>
      <c r="I37" s="1" t="s">
        <v>11</v>
      </c>
    </row>
    <row r="38" spans="1:9" x14ac:dyDescent="0.45">
      <c r="A38" s="1" t="s">
        <v>76</v>
      </c>
      <c r="B38" s="1" t="s">
        <v>77</v>
      </c>
      <c r="C38" s="1">
        <v>5</v>
      </c>
      <c r="D38" s="2">
        <v>43571</v>
      </c>
      <c r="E38" s="2">
        <v>43586</v>
      </c>
      <c r="F38" s="4">
        <v>231.55</v>
      </c>
      <c r="G38" s="4">
        <v>95.14</v>
      </c>
      <c r="H38" s="4">
        <v>136.41</v>
      </c>
      <c r="I38" s="1" t="s">
        <v>11</v>
      </c>
    </row>
    <row r="39" spans="1:9" x14ac:dyDescent="0.45">
      <c r="A39" s="1" t="s">
        <v>90</v>
      </c>
      <c r="B39" s="1" t="s">
        <v>91</v>
      </c>
      <c r="C39" s="1">
        <v>2</v>
      </c>
      <c r="D39" s="2">
        <v>43543</v>
      </c>
      <c r="E39" s="2">
        <v>43586</v>
      </c>
      <c r="F39" s="4">
        <v>2443.61</v>
      </c>
      <c r="G39" s="4">
        <v>1368.32</v>
      </c>
      <c r="H39" s="4">
        <v>1075.29</v>
      </c>
      <c r="I39" s="1" t="s">
        <v>11</v>
      </c>
    </row>
    <row r="40" spans="1:9" x14ac:dyDescent="0.45">
      <c r="A40" s="1" t="s">
        <v>244</v>
      </c>
      <c r="B40" s="1" t="s">
        <v>245</v>
      </c>
      <c r="C40" s="1">
        <v>3</v>
      </c>
      <c r="D40" s="2">
        <v>43572</v>
      </c>
      <c r="E40" s="2">
        <v>43586</v>
      </c>
      <c r="F40" s="4">
        <v>3703.9</v>
      </c>
      <c r="G40" s="4">
        <v>2077.02</v>
      </c>
      <c r="H40" s="4">
        <v>1626.88</v>
      </c>
      <c r="I40" s="1" t="s">
        <v>11</v>
      </c>
    </row>
    <row r="41" spans="1:9" x14ac:dyDescent="0.45">
      <c r="D41" s="2"/>
      <c r="E41" s="2"/>
      <c r="F41" s="4"/>
      <c r="G41" s="4"/>
      <c r="H41" s="4"/>
    </row>
    <row r="42" spans="1:9" x14ac:dyDescent="0.45">
      <c r="D42" s="2"/>
      <c r="E42" s="2"/>
      <c r="F42" s="4"/>
      <c r="G42" s="4"/>
      <c r="H42" s="4"/>
    </row>
    <row r="43" spans="1:9" x14ac:dyDescent="0.45">
      <c r="D43" s="2"/>
      <c r="E43" s="2"/>
      <c r="F43" s="4"/>
      <c r="G43" s="4"/>
      <c r="H43" s="4"/>
    </row>
    <row r="44" spans="1:9" x14ac:dyDescent="0.45">
      <c r="D44" s="2"/>
      <c r="E44" s="2"/>
      <c r="F44" s="4"/>
      <c r="G44" s="4"/>
      <c r="H44" s="4"/>
    </row>
    <row r="45" spans="1:9" x14ac:dyDescent="0.45">
      <c r="D45" s="2"/>
      <c r="E45" s="2"/>
      <c r="F45" s="4"/>
      <c r="G45" s="4"/>
      <c r="H45" s="4"/>
    </row>
    <row r="46" spans="1:9" x14ac:dyDescent="0.45">
      <c r="D46" s="2"/>
      <c r="E46" s="2"/>
      <c r="F46" s="4"/>
      <c r="G46" s="4"/>
      <c r="H46" s="4"/>
    </row>
    <row r="47" spans="1:9" x14ac:dyDescent="0.45">
      <c r="D47" s="2"/>
      <c r="E47" s="2"/>
      <c r="F47" s="4"/>
      <c r="G47" s="4"/>
      <c r="H47" s="4"/>
    </row>
    <row r="48" spans="1:9" x14ac:dyDescent="0.45">
      <c r="D48" s="2"/>
      <c r="E48" s="2"/>
      <c r="F48" s="4"/>
      <c r="G48" s="4"/>
      <c r="H48" s="4"/>
    </row>
    <row r="49" spans="4:8" x14ac:dyDescent="0.45">
      <c r="D49" s="2"/>
      <c r="E49" s="2"/>
      <c r="F49" s="4"/>
      <c r="G49" s="4"/>
      <c r="H49" s="4"/>
    </row>
    <row r="50" spans="4:8" x14ac:dyDescent="0.45">
      <c r="D50" s="2"/>
      <c r="E50" s="2"/>
      <c r="F50" s="4"/>
      <c r="G50" s="4"/>
      <c r="H50" s="4"/>
    </row>
    <row r="51" spans="4:8" x14ac:dyDescent="0.45">
      <c r="D51" s="2"/>
      <c r="E51" s="2"/>
      <c r="F51" s="4"/>
      <c r="G51" s="4"/>
      <c r="H51" s="4"/>
    </row>
    <row r="52" spans="4:8" x14ac:dyDescent="0.45">
      <c r="D52" s="2"/>
      <c r="E52" s="2"/>
      <c r="F52" s="4"/>
      <c r="G52" s="4"/>
      <c r="H52" s="4"/>
    </row>
    <row r="53" spans="4:8" x14ac:dyDescent="0.45">
      <c r="D53" s="2"/>
      <c r="E53" s="2"/>
      <c r="F53" s="4"/>
      <c r="G53" s="4"/>
      <c r="H53" s="4"/>
    </row>
    <row r="54" spans="4:8" x14ac:dyDescent="0.45">
      <c r="D54" s="2"/>
      <c r="E54" s="2"/>
      <c r="F54" s="4"/>
      <c r="G54" s="4"/>
      <c r="H54" s="4"/>
    </row>
    <row r="55" spans="4:8" x14ac:dyDescent="0.45">
      <c r="D55" s="2"/>
      <c r="E55" s="2"/>
      <c r="F55" s="4"/>
      <c r="G55" s="4"/>
      <c r="H55" s="4"/>
    </row>
    <row r="56" spans="4:8" x14ac:dyDescent="0.45">
      <c r="D56" s="2"/>
      <c r="E56" s="2"/>
      <c r="F56" s="4"/>
      <c r="G56" s="4"/>
      <c r="H56" s="4"/>
    </row>
    <row r="57" spans="4:8" x14ac:dyDescent="0.45">
      <c r="D57" s="2"/>
      <c r="E57" s="2"/>
      <c r="F57" s="4"/>
      <c r="G57" s="4"/>
      <c r="H57" s="4"/>
    </row>
    <row r="58" spans="4:8" x14ac:dyDescent="0.45">
      <c r="D58" s="2"/>
      <c r="E58" s="2"/>
      <c r="F58" s="4"/>
      <c r="G58" s="4"/>
      <c r="H58" s="4"/>
    </row>
    <row r="59" spans="4:8" x14ac:dyDescent="0.45">
      <c r="D59" s="2"/>
      <c r="E59" s="2"/>
      <c r="F59" s="4"/>
      <c r="G59" s="4"/>
      <c r="H59" s="4"/>
    </row>
    <row r="60" spans="4:8" x14ac:dyDescent="0.45">
      <c r="D60" s="2"/>
      <c r="E60" s="2"/>
      <c r="F60" s="4"/>
      <c r="G60" s="4"/>
      <c r="H60" s="4"/>
    </row>
    <row r="61" spans="4:8" x14ac:dyDescent="0.45">
      <c r="D61" s="2"/>
      <c r="E61" s="2"/>
      <c r="F61" s="4"/>
      <c r="G61" s="4"/>
      <c r="H61" s="4"/>
    </row>
    <row r="62" spans="4:8" x14ac:dyDescent="0.45">
      <c r="D62" s="2"/>
      <c r="E62" s="2"/>
      <c r="F62" s="4"/>
      <c r="G62" s="4"/>
      <c r="H62" s="4"/>
    </row>
    <row r="63" spans="4:8" x14ac:dyDescent="0.45">
      <c r="D63" s="2"/>
      <c r="E63" s="2"/>
      <c r="F63" s="4"/>
      <c r="G63" s="4"/>
      <c r="H63" s="4"/>
    </row>
    <row r="64" spans="4:8" x14ac:dyDescent="0.45">
      <c r="D64" s="2"/>
      <c r="E64" s="2"/>
      <c r="F64" s="4"/>
      <c r="G64" s="4"/>
      <c r="H64" s="4"/>
    </row>
    <row r="65" spans="4:8" x14ac:dyDescent="0.45">
      <c r="D65" s="2"/>
      <c r="E65" s="2"/>
      <c r="F65" s="4"/>
      <c r="G65" s="4"/>
      <c r="H65" s="4"/>
    </row>
    <row r="66" spans="4:8" x14ac:dyDescent="0.45">
      <c r="D66" s="2"/>
      <c r="E66" s="2"/>
      <c r="F66" s="4"/>
      <c r="G66" s="4"/>
      <c r="H66" s="4"/>
    </row>
    <row r="67" spans="4:8" x14ac:dyDescent="0.45">
      <c r="D67" s="2"/>
      <c r="E67" s="2"/>
      <c r="F67" s="4"/>
      <c r="G67" s="4"/>
      <c r="H67" s="4"/>
    </row>
    <row r="68" spans="4:8" x14ac:dyDescent="0.45">
      <c r="D68" s="2"/>
      <c r="E68" s="2"/>
      <c r="F68" s="4"/>
      <c r="G68" s="4"/>
      <c r="H68" s="4"/>
    </row>
    <row r="69" spans="4:8" x14ac:dyDescent="0.45">
      <c r="D69" s="2"/>
      <c r="E69" s="2"/>
      <c r="F69" s="4"/>
      <c r="G69" s="4"/>
      <c r="H69" s="4"/>
    </row>
    <row r="70" spans="4:8" x14ac:dyDescent="0.45">
      <c r="D70" s="2"/>
      <c r="E70" s="2"/>
      <c r="F70" s="4"/>
      <c r="G70" s="4"/>
      <c r="H70" s="4"/>
    </row>
    <row r="71" spans="4:8" x14ac:dyDescent="0.45">
      <c r="D71" s="2"/>
      <c r="E71" s="2"/>
      <c r="F71" s="4"/>
      <c r="G71" s="4"/>
      <c r="H71" s="4"/>
    </row>
    <row r="72" spans="4:8" x14ac:dyDescent="0.45">
      <c r="D72" s="2"/>
      <c r="E72" s="2"/>
      <c r="F72" s="4"/>
      <c r="G72" s="4"/>
      <c r="H72" s="4"/>
    </row>
    <row r="73" spans="4:8" x14ac:dyDescent="0.45">
      <c r="D73" s="2"/>
      <c r="E73" s="2"/>
      <c r="F73" s="4"/>
      <c r="G73" s="4"/>
      <c r="H73" s="4"/>
    </row>
    <row r="74" spans="4:8" x14ac:dyDescent="0.45">
      <c r="D74" s="2"/>
      <c r="E74" s="2"/>
      <c r="F74" s="4"/>
      <c r="G74" s="4"/>
      <c r="H74" s="4"/>
    </row>
    <row r="75" spans="4:8" x14ac:dyDescent="0.45">
      <c r="D75" s="2"/>
      <c r="E75" s="2"/>
      <c r="F75" s="4"/>
      <c r="G75" s="4"/>
      <c r="H75" s="4"/>
    </row>
    <row r="76" spans="4:8" x14ac:dyDescent="0.45">
      <c r="D76" s="2"/>
      <c r="E76" s="2"/>
      <c r="F76" s="4"/>
      <c r="G76" s="4"/>
      <c r="H76" s="4"/>
    </row>
    <row r="77" spans="4:8" x14ac:dyDescent="0.45">
      <c r="D77" s="2"/>
      <c r="E77" s="2"/>
      <c r="F77" s="4"/>
      <c r="G77" s="4"/>
      <c r="H77" s="4"/>
    </row>
    <row r="78" spans="4:8" x14ac:dyDescent="0.45">
      <c r="D78" s="2"/>
      <c r="E78" s="2"/>
      <c r="F78" s="4"/>
      <c r="G78" s="4"/>
      <c r="H78" s="4"/>
    </row>
    <row r="79" spans="4:8" x14ac:dyDescent="0.45">
      <c r="D79" s="2"/>
      <c r="E79" s="2"/>
      <c r="F79" s="4"/>
      <c r="G79" s="4"/>
      <c r="H79" s="4"/>
    </row>
    <row r="80" spans="4:8" x14ac:dyDescent="0.45">
      <c r="D80" s="2"/>
      <c r="E80" s="2"/>
      <c r="F80" s="4"/>
      <c r="G80" s="4"/>
      <c r="H80" s="4"/>
    </row>
    <row r="81" spans="4:8" x14ac:dyDescent="0.45">
      <c r="D81" s="2"/>
      <c r="E81" s="2"/>
      <c r="F81" s="4"/>
      <c r="G81" s="4"/>
      <c r="H81" s="4"/>
    </row>
    <row r="82" spans="4:8" x14ac:dyDescent="0.45">
      <c r="D82" s="2"/>
      <c r="E82" s="2"/>
      <c r="F82" s="4"/>
      <c r="G82" s="4"/>
      <c r="H82" s="4"/>
    </row>
    <row r="83" spans="4:8" x14ac:dyDescent="0.45">
      <c r="D83" s="2"/>
      <c r="E83" s="2"/>
      <c r="F83" s="4"/>
      <c r="G83" s="4"/>
      <c r="H83" s="4"/>
    </row>
    <row r="84" spans="4:8" x14ac:dyDescent="0.45">
      <c r="D84" s="2"/>
      <c r="E84" s="2"/>
      <c r="F84" s="4"/>
      <c r="G84" s="4"/>
      <c r="H84" s="4"/>
    </row>
    <row r="85" spans="4:8" x14ac:dyDescent="0.45">
      <c r="D85" s="2"/>
      <c r="E85" s="2"/>
      <c r="F85" s="4"/>
      <c r="G85" s="4"/>
      <c r="H85" s="4"/>
    </row>
    <row r="86" spans="4:8" x14ac:dyDescent="0.45">
      <c r="D86" s="2"/>
      <c r="E86" s="2"/>
      <c r="F86" s="4"/>
      <c r="G86" s="4"/>
      <c r="H86" s="4"/>
    </row>
    <row r="87" spans="4:8" x14ac:dyDescent="0.45">
      <c r="D87" s="2"/>
      <c r="E87" s="2"/>
      <c r="F87" s="4"/>
      <c r="G87" s="4"/>
      <c r="H87" s="4"/>
    </row>
    <row r="88" spans="4:8" x14ac:dyDescent="0.45">
      <c r="D88" s="2"/>
      <c r="E88" s="2"/>
      <c r="F88" s="4"/>
      <c r="G88" s="4"/>
      <c r="H88" s="4"/>
    </row>
    <row r="89" spans="4:8" x14ac:dyDescent="0.45">
      <c r="D89" s="2"/>
      <c r="E89" s="2"/>
      <c r="F89" s="4"/>
      <c r="G89" s="4"/>
      <c r="H89" s="4"/>
    </row>
    <row r="90" spans="4:8" x14ac:dyDescent="0.45">
      <c r="D90" s="2"/>
      <c r="E90" s="2"/>
      <c r="F90" s="4"/>
      <c r="G90" s="4"/>
      <c r="H90" s="4"/>
    </row>
    <row r="91" spans="4:8" x14ac:dyDescent="0.45">
      <c r="D91" s="2"/>
      <c r="E91" s="2"/>
      <c r="F91" s="4"/>
      <c r="G91" s="4"/>
      <c r="H91" s="4"/>
    </row>
    <row r="92" spans="4:8" x14ac:dyDescent="0.45">
      <c r="D92" s="2"/>
      <c r="E92" s="2"/>
      <c r="F92" s="4"/>
      <c r="G92" s="4"/>
      <c r="H92" s="4"/>
    </row>
    <row r="93" spans="4:8" x14ac:dyDescent="0.45">
      <c r="D93" s="2"/>
      <c r="E93" s="2"/>
      <c r="F93" s="4"/>
      <c r="G93" s="4"/>
      <c r="H93" s="4"/>
    </row>
    <row r="94" spans="4:8" x14ac:dyDescent="0.45">
      <c r="D94" s="2"/>
      <c r="E94" s="2"/>
      <c r="F94" s="4"/>
      <c r="G94" s="4"/>
      <c r="H94" s="4"/>
    </row>
    <row r="95" spans="4:8" x14ac:dyDescent="0.45">
      <c r="D95" s="2"/>
      <c r="E95" s="2"/>
      <c r="F95" s="4"/>
      <c r="G95" s="4"/>
      <c r="H95" s="4"/>
    </row>
    <row r="96" spans="4:8" x14ac:dyDescent="0.45">
      <c r="D96" s="2"/>
      <c r="E96" s="2"/>
      <c r="F96" s="4"/>
      <c r="G96" s="4"/>
      <c r="H96" s="4"/>
    </row>
    <row r="97" spans="4:8" x14ac:dyDescent="0.45">
      <c r="D97" s="2"/>
      <c r="E97" s="2"/>
      <c r="F97" s="4"/>
      <c r="G97" s="4"/>
      <c r="H97" s="4"/>
    </row>
    <row r="98" spans="4:8" x14ac:dyDescent="0.45">
      <c r="D98" s="2"/>
      <c r="E98" s="2"/>
      <c r="F98" s="4"/>
      <c r="G98" s="4"/>
      <c r="H98" s="4"/>
    </row>
    <row r="99" spans="4:8" x14ac:dyDescent="0.45">
      <c r="D99" s="2"/>
      <c r="E99" s="2"/>
      <c r="F99" s="4"/>
      <c r="G99" s="4"/>
      <c r="H99" s="4"/>
    </row>
    <row r="100" spans="4:8" x14ac:dyDescent="0.45">
      <c r="D100" s="2"/>
      <c r="E100" s="2"/>
      <c r="F100" s="4"/>
      <c r="G100" s="4"/>
      <c r="H100" s="4"/>
    </row>
    <row r="101" spans="4:8" x14ac:dyDescent="0.45">
      <c r="D101" s="2"/>
      <c r="E101" s="2"/>
      <c r="F101" s="4"/>
      <c r="G101" s="4"/>
      <c r="H101" s="4"/>
    </row>
    <row r="102" spans="4:8" x14ac:dyDescent="0.45">
      <c r="D102" s="2"/>
      <c r="E102" s="2"/>
      <c r="F102" s="4"/>
      <c r="G102" s="4"/>
      <c r="H102" s="4"/>
    </row>
    <row r="103" spans="4:8" x14ac:dyDescent="0.45">
      <c r="D103" s="2"/>
      <c r="E103" s="2"/>
      <c r="F103" s="4"/>
      <c r="G103" s="4"/>
      <c r="H103" s="4"/>
    </row>
    <row r="104" spans="4:8" x14ac:dyDescent="0.45">
      <c r="D104" s="2"/>
      <c r="E104" s="2"/>
      <c r="F104" s="4"/>
      <c r="G104" s="4"/>
      <c r="H104" s="4"/>
    </row>
    <row r="105" spans="4:8" x14ac:dyDescent="0.45">
      <c r="D105" s="2"/>
      <c r="E105" s="2"/>
      <c r="F105" s="4"/>
      <c r="G105" s="4"/>
      <c r="H105" s="4"/>
    </row>
    <row r="106" spans="4:8" x14ac:dyDescent="0.45">
      <c r="D106" s="2"/>
      <c r="E106" s="2"/>
      <c r="F106" s="4"/>
      <c r="G106" s="4"/>
      <c r="H106" s="4"/>
    </row>
    <row r="107" spans="4:8" x14ac:dyDescent="0.45">
      <c r="D107" s="2"/>
      <c r="E107" s="2"/>
      <c r="F107" s="4"/>
      <c r="G107" s="4"/>
      <c r="H107" s="4"/>
    </row>
    <row r="108" spans="4:8" x14ac:dyDescent="0.45">
      <c r="D108" s="2"/>
      <c r="E108" s="2"/>
      <c r="F108" s="4"/>
      <c r="G108" s="4"/>
      <c r="H108" s="4"/>
    </row>
    <row r="109" spans="4:8" x14ac:dyDescent="0.45">
      <c r="D109" s="2"/>
      <c r="E109" s="2"/>
      <c r="F109" s="4"/>
      <c r="G109" s="4"/>
      <c r="H109" s="4"/>
    </row>
    <row r="110" spans="4:8" x14ac:dyDescent="0.45">
      <c r="D110" s="2"/>
      <c r="E110" s="2"/>
      <c r="F110" s="4"/>
      <c r="G110" s="4"/>
      <c r="H110" s="4"/>
    </row>
    <row r="111" spans="4:8" x14ac:dyDescent="0.45">
      <c r="D111" s="2"/>
      <c r="E111" s="2"/>
      <c r="F111" s="4"/>
      <c r="G111" s="4"/>
      <c r="H111" s="4"/>
    </row>
    <row r="112" spans="4:8" x14ac:dyDescent="0.45">
      <c r="D112" s="2"/>
      <c r="E112" s="2"/>
      <c r="F112" s="4"/>
      <c r="G112" s="4"/>
      <c r="H112" s="4"/>
    </row>
    <row r="113" spans="4:8" x14ac:dyDescent="0.45">
      <c r="D113" s="2"/>
      <c r="E113" s="2"/>
      <c r="F113" s="4"/>
      <c r="G113" s="4"/>
      <c r="H113" s="4"/>
    </row>
    <row r="114" spans="4:8" x14ac:dyDescent="0.45">
      <c r="D114" s="2"/>
      <c r="E114" s="2"/>
      <c r="F114" s="4"/>
      <c r="G114" s="4"/>
      <c r="H114" s="4"/>
    </row>
    <row r="115" spans="4:8" x14ac:dyDescent="0.45">
      <c r="D115" s="2"/>
      <c r="E115" s="2"/>
      <c r="F115" s="4"/>
      <c r="G115" s="4"/>
      <c r="H115" s="4"/>
    </row>
    <row r="116" spans="4:8" x14ac:dyDescent="0.45">
      <c r="D116" s="2"/>
      <c r="E116" s="2"/>
      <c r="F116" s="4"/>
      <c r="G116" s="4"/>
      <c r="H116" s="4"/>
    </row>
    <row r="117" spans="4:8" x14ac:dyDescent="0.45">
      <c r="D117" s="2"/>
      <c r="E117" s="2"/>
      <c r="F117" s="4"/>
      <c r="G117" s="4"/>
      <c r="H117" s="4"/>
    </row>
    <row r="118" spans="4:8" x14ac:dyDescent="0.45">
      <c r="D118" s="2"/>
      <c r="E118" s="2"/>
      <c r="F118" s="4"/>
      <c r="G118" s="4"/>
      <c r="H118" s="4"/>
    </row>
    <row r="119" spans="4:8" x14ac:dyDescent="0.45">
      <c r="D119" s="2"/>
      <c r="E119" s="2"/>
      <c r="F119" s="4"/>
      <c r="G119" s="4"/>
      <c r="H119" s="4"/>
    </row>
    <row r="120" spans="4:8" x14ac:dyDescent="0.45">
      <c r="D120" s="2"/>
      <c r="E120" s="2"/>
      <c r="F120" s="4"/>
      <c r="G120" s="4"/>
      <c r="H120" s="4"/>
    </row>
    <row r="121" spans="4:8" x14ac:dyDescent="0.45">
      <c r="D121" s="2"/>
      <c r="E121" s="2"/>
      <c r="F121" s="4"/>
      <c r="G121" s="4"/>
      <c r="H121" s="4"/>
    </row>
    <row r="122" spans="4:8" x14ac:dyDescent="0.45">
      <c r="D122" s="2"/>
      <c r="E122" s="2"/>
      <c r="F122" s="4"/>
      <c r="G122" s="4"/>
      <c r="H122" s="4"/>
    </row>
    <row r="123" spans="4:8" x14ac:dyDescent="0.45">
      <c r="D123" s="2"/>
      <c r="E123" s="2"/>
      <c r="F123" s="4"/>
      <c r="G123" s="4"/>
      <c r="H123" s="4"/>
    </row>
    <row r="124" spans="4:8" x14ac:dyDescent="0.45">
      <c r="D124" s="2"/>
      <c r="E124" s="2"/>
      <c r="F124" s="4"/>
      <c r="G124" s="4"/>
      <c r="H124" s="4"/>
    </row>
    <row r="125" spans="4:8" x14ac:dyDescent="0.45">
      <c r="D125" s="2"/>
      <c r="E125" s="2"/>
      <c r="F125" s="4"/>
      <c r="G125" s="4"/>
      <c r="H125" s="4"/>
    </row>
    <row r="126" spans="4:8" x14ac:dyDescent="0.45">
      <c r="D126" s="2"/>
      <c r="E126" s="2"/>
      <c r="F126" s="4"/>
      <c r="G126" s="4"/>
      <c r="H126" s="4"/>
    </row>
    <row r="127" spans="4:8" x14ac:dyDescent="0.45">
      <c r="D127" s="2"/>
      <c r="E127" s="2"/>
      <c r="F127" s="4"/>
      <c r="G127" s="4"/>
      <c r="H127" s="4"/>
    </row>
    <row r="128" spans="4:8" x14ac:dyDescent="0.45">
      <c r="D128" s="2"/>
      <c r="E128" s="2"/>
      <c r="F128" s="4"/>
      <c r="G128" s="4"/>
      <c r="H128" s="4"/>
    </row>
    <row r="129" spans="4:8" x14ac:dyDescent="0.45">
      <c r="D129" s="2"/>
      <c r="E129" s="2"/>
      <c r="F129" s="4"/>
      <c r="G129" s="4"/>
      <c r="H129" s="4"/>
    </row>
    <row r="130" spans="4:8" x14ac:dyDescent="0.45">
      <c r="D130" s="2"/>
      <c r="E130" s="2"/>
      <c r="F130" s="4"/>
      <c r="G130" s="4"/>
      <c r="H130" s="4"/>
    </row>
    <row r="131" spans="4:8" x14ac:dyDescent="0.45">
      <c r="D131" s="2"/>
      <c r="E131" s="2"/>
      <c r="F131" s="4"/>
      <c r="G131" s="4"/>
      <c r="H131" s="4"/>
    </row>
    <row r="132" spans="4:8" x14ac:dyDescent="0.45">
      <c r="D132" s="2"/>
      <c r="E132" s="2"/>
      <c r="F132" s="4"/>
      <c r="G132" s="4"/>
      <c r="H132" s="4"/>
    </row>
    <row r="133" spans="4:8" x14ac:dyDescent="0.45">
      <c r="D133" s="2"/>
      <c r="E133" s="2"/>
      <c r="F133" s="4"/>
      <c r="G133" s="4"/>
      <c r="H133" s="4"/>
    </row>
    <row r="134" spans="4:8" x14ac:dyDescent="0.45">
      <c r="D134" s="2"/>
      <c r="E134" s="2"/>
      <c r="F134" s="4"/>
      <c r="G134" s="4"/>
      <c r="H134" s="4"/>
    </row>
    <row r="135" spans="4:8" x14ac:dyDescent="0.45">
      <c r="D135" s="2"/>
      <c r="E135" s="2"/>
      <c r="F135" s="4"/>
      <c r="G135" s="4"/>
      <c r="H135" s="4"/>
    </row>
    <row r="136" spans="4:8" x14ac:dyDescent="0.45">
      <c r="D136" s="2"/>
      <c r="E136" s="2"/>
      <c r="F136" s="4"/>
      <c r="G136" s="4"/>
      <c r="H136" s="4"/>
    </row>
    <row r="137" spans="4:8" x14ac:dyDescent="0.45">
      <c r="D137" s="2"/>
      <c r="E137" s="2"/>
      <c r="F137" s="4"/>
      <c r="G137" s="4"/>
      <c r="H137" s="4"/>
    </row>
    <row r="138" spans="4:8" x14ac:dyDescent="0.45">
      <c r="D138" s="2"/>
      <c r="E138" s="2"/>
      <c r="F138" s="4"/>
      <c r="G138" s="4"/>
      <c r="H138" s="4"/>
    </row>
    <row r="139" spans="4:8" x14ac:dyDescent="0.45">
      <c r="D139" s="2"/>
      <c r="E139" s="2"/>
      <c r="F139" s="4"/>
      <c r="G139" s="4"/>
      <c r="H139" s="4"/>
    </row>
    <row r="140" spans="4:8" x14ac:dyDescent="0.45">
      <c r="D140" s="2"/>
      <c r="E140" s="2"/>
      <c r="F140" s="4"/>
      <c r="G140" s="4"/>
      <c r="H140" s="4"/>
    </row>
    <row r="141" spans="4:8" x14ac:dyDescent="0.45">
      <c r="D141" s="2"/>
      <c r="E141" s="2"/>
      <c r="F141" s="4"/>
      <c r="G141" s="4"/>
      <c r="H141" s="4"/>
    </row>
    <row r="142" spans="4:8" x14ac:dyDescent="0.45">
      <c r="D142" s="2"/>
      <c r="E142" s="2"/>
      <c r="F142" s="4"/>
      <c r="G142" s="4"/>
      <c r="H142" s="4"/>
    </row>
    <row r="143" spans="4:8" x14ac:dyDescent="0.45">
      <c r="D143" s="2"/>
      <c r="E143" s="2"/>
      <c r="F143" s="4"/>
      <c r="G143" s="4"/>
      <c r="H143" s="4"/>
    </row>
    <row r="144" spans="4:8" x14ac:dyDescent="0.45">
      <c r="H1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workbookViewId="0">
      <selection activeCell="B32" sqref="B32"/>
    </sheetView>
  </sheetViews>
  <sheetFormatPr defaultRowHeight="14.25" x14ac:dyDescent="0.45"/>
  <cols>
    <col min="1" max="1" width="34.6640625" style="1" customWidth="1"/>
    <col min="2" max="2" width="72.265625" style="1" customWidth="1"/>
    <col min="3" max="3" width="7.6640625" style="1" bestFit="1" customWidth="1"/>
    <col min="4" max="4" width="11.9296875" style="1" bestFit="1" customWidth="1"/>
    <col min="5" max="5" width="9.19921875" style="1" bestFit="1" customWidth="1"/>
    <col min="6" max="7" width="11.265625" style="1" bestFit="1" customWidth="1"/>
    <col min="8" max="8" width="17.6640625" style="1" bestFit="1" customWidth="1"/>
    <col min="9" max="9" width="0" style="1" hidden="1" customWidth="1"/>
    <col min="10" max="10" width="9.265625" style="1" bestFit="1" customWidth="1"/>
    <col min="11" max="16384" width="9.06640625" style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 t="s">
        <v>34</v>
      </c>
      <c r="B2" s="1" t="s">
        <v>35</v>
      </c>
      <c r="C2" s="1">
        <v>1</v>
      </c>
      <c r="D2" s="2">
        <v>43626</v>
      </c>
      <c r="E2" s="2">
        <v>43637</v>
      </c>
      <c r="F2" s="4">
        <v>0</v>
      </c>
      <c r="G2" s="4">
        <v>1217.6400000000001</v>
      </c>
      <c r="H2" s="4">
        <v>-1217.6400000000001</v>
      </c>
      <c r="I2" s="1" t="s">
        <v>11</v>
      </c>
    </row>
    <row r="3" spans="1:9" x14ac:dyDescent="0.45">
      <c r="A3" s="1" t="s">
        <v>38</v>
      </c>
      <c r="B3" s="1" t="s">
        <v>39</v>
      </c>
      <c r="C3" s="1">
        <v>1</v>
      </c>
      <c r="D3" s="2">
        <v>43626</v>
      </c>
      <c r="E3" s="2">
        <v>43637</v>
      </c>
      <c r="F3" s="4">
        <v>0</v>
      </c>
      <c r="G3" s="4">
        <v>2155.64</v>
      </c>
      <c r="H3" s="4">
        <v>-2155.64</v>
      </c>
      <c r="I3" s="1" t="s">
        <v>11</v>
      </c>
    </row>
    <row r="4" spans="1:9" x14ac:dyDescent="0.45">
      <c r="A4" s="1" t="s">
        <v>38</v>
      </c>
      <c r="B4" s="1" t="s">
        <v>39</v>
      </c>
      <c r="C4" s="1">
        <v>4</v>
      </c>
      <c r="D4" s="2">
        <v>43627</v>
      </c>
      <c r="E4" s="2">
        <v>43637</v>
      </c>
      <c r="F4" s="4">
        <v>0</v>
      </c>
      <c r="G4" s="4">
        <v>1111.71</v>
      </c>
      <c r="H4" s="4">
        <v>-1111.71</v>
      </c>
      <c r="I4" s="1" t="s">
        <v>11</v>
      </c>
    </row>
    <row r="5" spans="1:9" x14ac:dyDescent="0.45">
      <c r="A5" s="1" t="s">
        <v>38</v>
      </c>
      <c r="B5" s="1" t="s">
        <v>39</v>
      </c>
      <c r="C5" s="1">
        <v>1</v>
      </c>
      <c r="D5" s="2">
        <v>43630</v>
      </c>
      <c r="E5" s="2">
        <v>43637</v>
      </c>
      <c r="F5" s="4">
        <v>0</v>
      </c>
      <c r="G5" s="4">
        <v>281.64</v>
      </c>
      <c r="H5" s="4">
        <v>-281.64</v>
      </c>
      <c r="I5" s="1" t="s">
        <v>11</v>
      </c>
    </row>
    <row r="6" spans="1:9" x14ac:dyDescent="0.45">
      <c r="A6" s="1" t="s">
        <v>136</v>
      </c>
      <c r="B6" s="1" t="s">
        <v>137</v>
      </c>
      <c r="C6" s="1">
        <v>20</v>
      </c>
      <c r="D6" s="2">
        <v>43627</v>
      </c>
      <c r="E6" s="2">
        <v>43637</v>
      </c>
      <c r="F6" s="4">
        <v>0</v>
      </c>
      <c r="G6" s="4">
        <v>1018.73</v>
      </c>
      <c r="H6" s="4">
        <v>-1018.73</v>
      </c>
      <c r="I6" s="1" t="s">
        <v>11</v>
      </c>
    </row>
    <row r="7" spans="1:9" x14ac:dyDescent="0.45">
      <c r="A7" s="1" t="s">
        <v>260</v>
      </c>
      <c r="B7" s="1" t="s">
        <v>261</v>
      </c>
      <c r="C7" s="1">
        <v>10</v>
      </c>
      <c r="D7" s="2">
        <v>43572</v>
      </c>
      <c r="E7" s="2">
        <v>43637</v>
      </c>
      <c r="F7" s="4">
        <v>0</v>
      </c>
      <c r="G7" s="4">
        <v>1241.8399999999999</v>
      </c>
      <c r="H7" s="4">
        <v>-1241.8399999999999</v>
      </c>
      <c r="I7" s="1" t="s">
        <v>11</v>
      </c>
    </row>
    <row r="8" spans="1:9" x14ac:dyDescent="0.45">
      <c r="A8" s="1" t="s">
        <v>130</v>
      </c>
      <c r="B8" s="1" t="s">
        <v>131</v>
      </c>
      <c r="C8" s="1">
        <v>5</v>
      </c>
      <c r="D8" s="2">
        <v>43622</v>
      </c>
      <c r="E8" s="2">
        <v>43636</v>
      </c>
      <c r="F8" s="4">
        <v>541.59</v>
      </c>
      <c r="G8" s="4">
        <v>468.39</v>
      </c>
      <c r="H8" s="4">
        <v>73.2</v>
      </c>
      <c r="I8" s="1" t="s">
        <v>11</v>
      </c>
    </row>
    <row r="9" spans="1:9" x14ac:dyDescent="0.45">
      <c r="A9" s="1" t="s">
        <v>26</v>
      </c>
      <c r="B9" s="1" t="s">
        <v>27</v>
      </c>
      <c r="C9" s="1">
        <v>3</v>
      </c>
      <c r="D9" s="2">
        <v>43613</v>
      </c>
      <c r="E9" s="2">
        <v>43635</v>
      </c>
      <c r="F9" s="4">
        <v>1378.95</v>
      </c>
      <c r="G9" s="4">
        <v>824.07</v>
      </c>
      <c r="H9" s="4">
        <v>554.88</v>
      </c>
      <c r="I9" s="1" t="s">
        <v>11</v>
      </c>
    </row>
    <row r="10" spans="1:9" x14ac:dyDescent="0.45">
      <c r="A10" s="1" t="s">
        <v>40</v>
      </c>
      <c r="B10" s="1" t="s">
        <v>41</v>
      </c>
      <c r="C10" s="1">
        <v>2</v>
      </c>
      <c r="D10" s="2">
        <v>43630</v>
      </c>
      <c r="E10" s="2">
        <v>43635</v>
      </c>
      <c r="F10" s="4">
        <v>396.96</v>
      </c>
      <c r="G10" s="4">
        <v>316.33</v>
      </c>
      <c r="H10" s="4">
        <v>80.63</v>
      </c>
      <c r="I10" s="1" t="s">
        <v>11</v>
      </c>
    </row>
    <row r="11" spans="1:9" x14ac:dyDescent="0.45">
      <c r="A11" s="1" t="s">
        <v>40</v>
      </c>
      <c r="B11" s="1" t="s">
        <v>41</v>
      </c>
      <c r="C11" s="1">
        <v>4</v>
      </c>
      <c r="D11" s="2">
        <v>43630</v>
      </c>
      <c r="E11" s="2">
        <v>43635</v>
      </c>
      <c r="F11" s="4">
        <v>793.93</v>
      </c>
      <c r="G11" s="4">
        <v>606.71</v>
      </c>
      <c r="H11" s="4">
        <v>187.22</v>
      </c>
      <c r="I11" s="1" t="s">
        <v>11</v>
      </c>
    </row>
    <row r="12" spans="1:9" x14ac:dyDescent="0.45">
      <c r="A12" s="1" t="s">
        <v>40</v>
      </c>
      <c r="B12" s="1" t="s">
        <v>41</v>
      </c>
      <c r="C12" s="1">
        <v>1</v>
      </c>
      <c r="D12" s="2">
        <v>43630</v>
      </c>
      <c r="E12" s="2">
        <v>43635</v>
      </c>
      <c r="F12" s="4">
        <v>193.3</v>
      </c>
      <c r="G12" s="4">
        <v>151.68</v>
      </c>
      <c r="H12" s="4">
        <v>41.62</v>
      </c>
      <c r="I12" s="1" t="s">
        <v>11</v>
      </c>
    </row>
    <row r="13" spans="1:9" x14ac:dyDescent="0.45">
      <c r="A13" s="1" t="s">
        <v>192</v>
      </c>
      <c r="B13" s="1" t="s">
        <v>193</v>
      </c>
      <c r="C13" s="1">
        <v>2</v>
      </c>
      <c r="D13" s="2">
        <v>43633</v>
      </c>
      <c r="E13" s="2">
        <v>43635</v>
      </c>
      <c r="F13" s="4">
        <v>548.6</v>
      </c>
      <c r="G13" s="4">
        <v>504.33</v>
      </c>
      <c r="H13" s="4">
        <v>44.27</v>
      </c>
      <c r="I13" s="1" t="s">
        <v>11</v>
      </c>
    </row>
    <row r="14" spans="1:9" x14ac:dyDescent="0.45">
      <c r="A14" s="1" t="s">
        <v>28</v>
      </c>
      <c r="B14" s="1" t="s">
        <v>29</v>
      </c>
      <c r="C14" s="1">
        <v>3</v>
      </c>
      <c r="D14" s="2">
        <v>43613</v>
      </c>
      <c r="E14" s="2">
        <v>43630</v>
      </c>
      <c r="F14" s="4">
        <v>1225.95</v>
      </c>
      <c r="G14" s="4">
        <v>787.02</v>
      </c>
      <c r="H14" s="4">
        <v>438.93</v>
      </c>
      <c r="I14" s="1" t="s">
        <v>11</v>
      </c>
    </row>
    <row r="15" spans="1:9" x14ac:dyDescent="0.45">
      <c r="A15" s="1" t="s">
        <v>194</v>
      </c>
      <c r="B15" s="1" t="s">
        <v>195</v>
      </c>
      <c r="C15" s="1">
        <v>50</v>
      </c>
      <c r="D15" s="2">
        <v>43626</v>
      </c>
      <c r="E15" s="2">
        <v>43630</v>
      </c>
      <c r="F15" s="4">
        <v>2066.7600000000002</v>
      </c>
      <c r="G15" s="4">
        <v>2009.73</v>
      </c>
      <c r="H15" s="4">
        <v>57.03</v>
      </c>
      <c r="I15" s="1" t="s">
        <v>11</v>
      </c>
    </row>
    <row r="16" spans="1:9" x14ac:dyDescent="0.45">
      <c r="A16" s="1" t="s">
        <v>36</v>
      </c>
      <c r="B16" s="1" t="s">
        <v>37</v>
      </c>
      <c r="C16" s="1">
        <v>1</v>
      </c>
      <c r="D16" s="2">
        <v>43626</v>
      </c>
      <c r="E16" s="2">
        <v>43627</v>
      </c>
      <c r="F16" s="4">
        <v>752.29</v>
      </c>
      <c r="G16" s="4">
        <v>353.64</v>
      </c>
      <c r="H16" s="4">
        <v>398.65</v>
      </c>
      <c r="I16" s="1" t="s">
        <v>11</v>
      </c>
    </row>
    <row r="17" spans="1:9" x14ac:dyDescent="0.45">
      <c r="A17" s="1" t="s">
        <v>72</v>
      </c>
      <c r="B17" s="1" t="s">
        <v>73</v>
      </c>
      <c r="C17" s="1">
        <v>1</v>
      </c>
      <c r="D17" s="2">
        <v>43622</v>
      </c>
      <c r="E17" s="2">
        <v>43627</v>
      </c>
      <c r="F17" s="4">
        <v>484.34</v>
      </c>
      <c r="G17" s="4">
        <v>466.64</v>
      </c>
      <c r="H17" s="4">
        <v>17.7</v>
      </c>
      <c r="I17" s="1" t="s">
        <v>11</v>
      </c>
    </row>
    <row r="18" spans="1:9" x14ac:dyDescent="0.45">
      <c r="A18" s="1" t="s">
        <v>138</v>
      </c>
      <c r="B18" s="1" t="s">
        <v>139</v>
      </c>
      <c r="C18" s="1">
        <v>20</v>
      </c>
      <c r="D18" s="2">
        <v>43622</v>
      </c>
      <c r="E18" s="2">
        <v>43627</v>
      </c>
      <c r="F18" s="4">
        <v>1721.23</v>
      </c>
      <c r="G18" s="4">
        <v>598.73</v>
      </c>
      <c r="H18" s="4">
        <v>1122.5</v>
      </c>
      <c r="I18" s="1" t="s">
        <v>11</v>
      </c>
    </row>
    <row r="19" spans="1:9" x14ac:dyDescent="0.45">
      <c r="A19" s="1" t="s">
        <v>134</v>
      </c>
      <c r="B19" s="1" t="s">
        <v>135</v>
      </c>
      <c r="C19" s="1">
        <v>10</v>
      </c>
      <c r="D19" s="2">
        <v>43607</v>
      </c>
      <c r="E19" s="2">
        <v>43626</v>
      </c>
      <c r="F19" s="4">
        <v>851.44</v>
      </c>
      <c r="G19" s="4">
        <v>551.84</v>
      </c>
      <c r="H19" s="4">
        <v>299.60000000000002</v>
      </c>
      <c r="I19" s="1" t="s">
        <v>11</v>
      </c>
    </row>
    <row r="20" spans="1:9" x14ac:dyDescent="0.45">
      <c r="A20" s="1" t="s">
        <v>134</v>
      </c>
      <c r="B20" s="1" t="s">
        <v>135</v>
      </c>
      <c r="C20" s="1">
        <v>10</v>
      </c>
      <c r="D20" s="2">
        <v>43608</v>
      </c>
      <c r="E20" s="2">
        <v>43626</v>
      </c>
      <c r="F20" s="4">
        <v>851.44</v>
      </c>
      <c r="G20" s="4">
        <v>471.84</v>
      </c>
      <c r="H20" s="4">
        <v>379.6</v>
      </c>
      <c r="I20" s="1" t="s">
        <v>11</v>
      </c>
    </row>
    <row r="21" spans="1:9" x14ac:dyDescent="0.45">
      <c r="A21" s="1" t="s">
        <v>134</v>
      </c>
      <c r="B21" s="1" t="s">
        <v>135</v>
      </c>
      <c r="C21" s="1">
        <v>10</v>
      </c>
      <c r="D21" s="2">
        <v>43622</v>
      </c>
      <c r="E21" s="2">
        <v>43626</v>
      </c>
      <c r="F21" s="4">
        <v>851.45</v>
      </c>
      <c r="G21" s="4">
        <v>806.89</v>
      </c>
      <c r="H21" s="4">
        <v>44.56</v>
      </c>
      <c r="I21" s="1" t="s">
        <v>11</v>
      </c>
    </row>
    <row r="22" spans="1:9" x14ac:dyDescent="0.45">
      <c r="A22" s="1" t="s">
        <v>122</v>
      </c>
      <c r="B22" s="1" t="s">
        <v>123</v>
      </c>
      <c r="C22" s="1">
        <v>600</v>
      </c>
      <c r="D22" s="2">
        <v>43588</v>
      </c>
      <c r="E22" s="2">
        <v>43622</v>
      </c>
      <c r="F22" s="4">
        <v>5198.9799999999996</v>
      </c>
      <c r="G22" s="4">
        <v>4497.47</v>
      </c>
      <c r="H22" s="4">
        <v>701.51</v>
      </c>
      <c r="I22" s="1" t="s">
        <v>11</v>
      </c>
    </row>
    <row r="23" spans="1:9" x14ac:dyDescent="0.45">
      <c r="A23" s="1" t="s">
        <v>122</v>
      </c>
      <c r="B23" s="1" t="s">
        <v>123</v>
      </c>
      <c r="C23" s="1">
        <v>200</v>
      </c>
      <c r="D23" s="2">
        <v>43588</v>
      </c>
      <c r="E23" s="2">
        <v>43622</v>
      </c>
      <c r="F23" s="4">
        <v>1735</v>
      </c>
      <c r="G23" s="4">
        <v>1499.16</v>
      </c>
      <c r="H23" s="4">
        <v>235.84</v>
      </c>
      <c r="I23" s="1" t="s">
        <v>11</v>
      </c>
    </row>
    <row r="24" spans="1:9" x14ac:dyDescent="0.45">
      <c r="A24" s="1" t="s">
        <v>122</v>
      </c>
      <c r="B24" s="1" t="s">
        <v>123</v>
      </c>
      <c r="C24" s="1">
        <v>200</v>
      </c>
      <c r="D24" s="2">
        <v>43588</v>
      </c>
      <c r="E24" s="2">
        <v>43622</v>
      </c>
      <c r="F24" s="4">
        <v>1733.96</v>
      </c>
      <c r="G24" s="4">
        <v>1499.15</v>
      </c>
      <c r="H24" s="4">
        <v>234.81</v>
      </c>
      <c r="I24" s="1" t="s">
        <v>11</v>
      </c>
    </row>
    <row r="25" spans="1:9" x14ac:dyDescent="0.45">
      <c r="A25" s="1" t="s">
        <v>128</v>
      </c>
      <c r="B25" s="1" t="s">
        <v>129</v>
      </c>
      <c r="C25" s="1">
        <v>7</v>
      </c>
      <c r="D25" s="2">
        <v>43619</v>
      </c>
      <c r="E25" s="2">
        <v>43622</v>
      </c>
      <c r="F25" s="4">
        <v>128.32</v>
      </c>
      <c r="G25" s="4">
        <v>101.74</v>
      </c>
      <c r="H25" s="4">
        <v>26.58</v>
      </c>
      <c r="I25" s="1" t="s">
        <v>11</v>
      </c>
    </row>
    <row r="26" spans="1:9" x14ac:dyDescent="0.45">
      <c r="A26" s="1" t="s">
        <v>128</v>
      </c>
      <c r="B26" s="1" t="s">
        <v>129</v>
      </c>
      <c r="C26" s="1">
        <v>3</v>
      </c>
      <c r="D26" s="2">
        <v>43619</v>
      </c>
      <c r="E26" s="2">
        <v>43622</v>
      </c>
      <c r="F26" s="4">
        <v>48.92</v>
      </c>
      <c r="G26" s="4">
        <v>43.6</v>
      </c>
      <c r="H26" s="4">
        <v>5.32</v>
      </c>
      <c r="I26" s="1" t="s">
        <v>11</v>
      </c>
    </row>
    <row r="27" spans="1:9" x14ac:dyDescent="0.45">
      <c r="A27" s="1" t="s">
        <v>74</v>
      </c>
      <c r="B27" s="1" t="s">
        <v>75</v>
      </c>
      <c r="C27" s="1">
        <v>5</v>
      </c>
      <c r="D27" s="2">
        <v>43571</v>
      </c>
      <c r="E27" s="2">
        <v>43616</v>
      </c>
      <c r="F27" s="4">
        <v>0</v>
      </c>
      <c r="G27" s="4">
        <v>743.39</v>
      </c>
      <c r="H27" s="4">
        <v>-743.39</v>
      </c>
      <c r="I27" s="1" t="s">
        <v>11</v>
      </c>
    </row>
    <row r="28" spans="1:9" x14ac:dyDescent="0.45">
      <c r="A28" s="1" t="s">
        <v>74</v>
      </c>
      <c r="B28" s="1" t="s">
        <v>75</v>
      </c>
      <c r="C28" s="1">
        <v>5</v>
      </c>
      <c r="D28" s="2">
        <v>43586</v>
      </c>
      <c r="E28" s="2">
        <v>43616</v>
      </c>
      <c r="F28" s="4">
        <v>0</v>
      </c>
      <c r="G28" s="4">
        <v>558.39</v>
      </c>
      <c r="H28" s="4">
        <v>-558.39</v>
      </c>
      <c r="I28" s="1" t="s">
        <v>11</v>
      </c>
    </row>
    <row r="29" spans="1:9" x14ac:dyDescent="0.45">
      <c r="A29" s="1" t="s">
        <v>120</v>
      </c>
      <c r="B29" s="1" t="s">
        <v>121</v>
      </c>
      <c r="C29" s="1">
        <v>5</v>
      </c>
      <c r="D29" s="2">
        <v>43580</v>
      </c>
      <c r="E29" s="2">
        <v>43609</v>
      </c>
      <c r="F29" s="4">
        <v>0</v>
      </c>
      <c r="G29" s="4">
        <v>633.39</v>
      </c>
      <c r="H29" s="4">
        <v>-633.39</v>
      </c>
      <c r="I29" s="1" t="s">
        <v>11</v>
      </c>
    </row>
    <row r="30" spans="1:9" x14ac:dyDescent="0.45">
      <c r="A30" s="1" t="s">
        <v>120</v>
      </c>
      <c r="B30" s="1" t="s">
        <v>121</v>
      </c>
      <c r="C30" s="1">
        <v>15</v>
      </c>
      <c r="D30" s="2">
        <v>43584</v>
      </c>
      <c r="E30" s="2">
        <v>43609</v>
      </c>
      <c r="F30" s="4">
        <v>0</v>
      </c>
      <c r="G30" s="4">
        <v>390.28</v>
      </c>
      <c r="H30" s="4">
        <v>-390.28</v>
      </c>
      <c r="I30" s="1" t="s">
        <v>11</v>
      </c>
    </row>
    <row r="31" spans="1:9" x14ac:dyDescent="0.45">
      <c r="A31" s="1" t="s">
        <v>120</v>
      </c>
      <c r="B31" s="1" t="s">
        <v>121</v>
      </c>
      <c r="C31" s="1">
        <v>10</v>
      </c>
      <c r="D31" s="2">
        <v>43593</v>
      </c>
      <c r="E31" s="2">
        <v>43609</v>
      </c>
      <c r="F31" s="4">
        <v>0</v>
      </c>
      <c r="G31" s="4">
        <v>281.83999999999997</v>
      </c>
      <c r="H31" s="4">
        <v>-281.83999999999997</v>
      </c>
      <c r="I31" s="1" t="s">
        <v>11</v>
      </c>
    </row>
    <row r="32" spans="1:9" x14ac:dyDescent="0.45">
      <c r="A32" s="1" t="s">
        <v>126</v>
      </c>
      <c r="B32" s="1" t="s">
        <v>127</v>
      </c>
      <c r="C32" s="1">
        <v>5</v>
      </c>
      <c r="D32" s="2">
        <v>43577</v>
      </c>
      <c r="E32" s="2">
        <v>43609</v>
      </c>
      <c r="F32" s="4">
        <v>0</v>
      </c>
      <c r="G32" s="4">
        <v>258.39</v>
      </c>
      <c r="H32" s="4">
        <v>-258.39</v>
      </c>
      <c r="I32" s="1" t="s">
        <v>11</v>
      </c>
    </row>
    <row r="33" spans="1:9" x14ac:dyDescent="0.45">
      <c r="A33" s="1" t="s">
        <v>126</v>
      </c>
      <c r="B33" s="1" t="s">
        <v>127</v>
      </c>
      <c r="C33" s="1">
        <v>5</v>
      </c>
      <c r="D33" s="2">
        <v>43577</v>
      </c>
      <c r="E33" s="2">
        <v>43609</v>
      </c>
      <c r="F33" s="4">
        <v>0</v>
      </c>
      <c r="G33" s="4">
        <v>228.39</v>
      </c>
      <c r="H33" s="4">
        <v>-228.39</v>
      </c>
      <c r="I33" s="1" t="s">
        <v>11</v>
      </c>
    </row>
    <row r="34" spans="1:9" x14ac:dyDescent="0.45">
      <c r="A34" s="1" t="s">
        <v>126</v>
      </c>
      <c r="B34" s="1" t="s">
        <v>127</v>
      </c>
      <c r="C34" s="1">
        <v>5</v>
      </c>
      <c r="D34" s="2">
        <v>43579</v>
      </c>
      <c r="E34" s="2">
        <v>43609</v>
      </c>
      <c r="F34" s="4">
        <v>0</v>
      </c>
      <c r="G34" s="4">
        <v>208.39</v>
      </c>
      <c r="H34" s="4">
        <v>-208.39</v>
      </c>
      <c r="I34" s="1" t="s">
        <v>11</v>
      </c>
    </row>
    <row r="35" spans="1:9" x14ac:dyDescent="0.45">
      <c r="A35" s="1" t="s">
        <v>176</v>
      </c>
      <c r="B35" s="1" t="s">
        <v>177</v>
      </c>
      <c r="C35" s="1">
        <v>5</v>
      </c>
      <c r="D35" s="2">
        <v>43586</v>
      </c>
      <c r="E35" s="2">
        <v>43609</v>
      </c>
      <c r="F35" s="4">
        <v>2666.55</v>
      </c>
      <c r="G35" s="4">
        <v>1978.39</v>
      </c>
      <c r="H35" s="4">
        <v>688.16</v>
      </c>
      <c r="I35" s="1" t="s">
        <v>11</v>
      </c>
    </row>
    <row r="36" spans="1:9" x14ac:dyDescent="0.45">
      <c r="A36" s="1" t="s">
        <v>158</v>
      </c>
      <c r="B36" s="1" t="s">
        <v>159</v>
      </c>
      <c r="C36" s="1">
        <v>5</v>
      </c>
      <c r="D36" s="2">
        <v>43594</v>
      </c>
      <c r="E36" s="2">
        <v>43608</v>
      </c>
      <c r="F36" s="4">
        <v>591.59</v>
      </c>
      <c r="G36" s="4">
        <v>483.39</v>
      </c>
      <c r="H36" s="4">
        <v>108.2</v>
      </c>
      <c r="I36" s="1" t="s">
        <v>11</v>
      </c>
    </row>
    <row r="37" spans="1:9" x14ac:dyDescent="0.45">
      <c r="A37" s="1" t="s">
        <v>124</v>
      </c>
      <c r="B37" s="1" t="s">
        <v>125</v>
      </c>
      <c r="C37" s="1">
        <v>1</v>
      </c>
      <c r="D37" s="2">
        <v>43573</v>
      </c>
      <c r="E37" s="2">
        <v>43602</v>
      </c>
      <c r="F37" s="4">
        <v>0</v>
      </c>
      <c r="G37" s="4">
        <v>84.99</v>
      </c>
      <c r="H37" s="4">
        <v>-84.99</v>
      </c>
      <c r="I37" s="1" t="s">
        <v>11</v>
      </c>
    </row>
    <row r="38" spans="1:9" x14ac:dyDescent="0.45">
      <c r="A38" s="1" t="s">
        <v>124</v>
      </c>
      <c r="B38" s="1" t="s">
        <v>125</v>
      </c>
      <c r="C38" s="1">
        <v>4</v>
      </c>
      <c r="D38" s="2">
        <v>43573</v>
      </c>
      <c r="E38" s="2">
        <v>43602</v>
      </c>
      <c r="F38" s="4">
        <v>0</v>
      </c>
      <c r="G38" s="4">
        <v>327.41000000000003</v>
      </c>
      <c r="H38" s="4">
        <v>-327.41000000000003</v>
      </c>
      <c r="I38" s="1" t="s">
        <v>11</v>
      </c>
    </row>
    <row r="39" spans="1:9" x14ac:dyDescent="0.45">
      <c r="A39" s="1" t="s">
        <v>124</v>
      </c>
      <c r="B39" s="1" t="s">
        <v>125</v>
      </c>
      <c r="C39" s="1">
        <v>5</v>
      </c>
      <c r="D39" s="2">
        <v>43577</v>
      </c>
      <c r="E39" s="2">
        <v>43602</v>
      </c>
      <c r="F39" s="4">
        <v>0</v>
      </c>
      <c r="G39" s="4">
        <v>243.39</v>
      </c>
      <c r="H39" s="4">
        <v>-243.39</v>
      </c>
      <c r="I39" s="1" t="s">
        <v>11</v>
      </c>
    </row>
    <row r="40" spans="1:9" x14ac:dyDescent="0.45">
      <c r="A40" s="1" t="s">
        <v>124</v>
      </c>
      <c r="B40" s="1" t="s">
        <v>125</v>
      </c>
      <c r="C40" s="1">
        <v>2</v>
      </c>
      <c r="D40" s="2">
        <v>43598</v>
      </c>
      <c r="E40" s="2">
        <v>43602</v>
      </c>
      <c r="F40" s="4">
        <v>0</v>
      </c>
      <c r="G40" s="4">
        <v>27.03</v>
      </c>
      <c r="H40" s="4">
        <v>-27.03</v>
      </c>
      <c r="I40" s="1" t="s">
        <v>11</v>
      </c>
    </row>
    <row r="41" spans="1:9" x14ac:dyDescent="0.45">
      <c r="A41" s="1" t="s">
        <v>124</v>
      </c>
      <c r="B41" s="1" t="s">
        <v>125</v>
      </c>
      <c r="C41" s="1">
        <v>8</v>
      </c>
      <c r="D41" s="2">
        <v>43598</v>
      </c>
      <c r="E41" s="2">
        <v>43602</v>
      </c>
      <c r="F41" s="4">
        <v>0</v>
      </c>
      <c r="G41" s="4">
        <v>88.86</v>
      </c>
      <c r="H41" s="4">
        <v>-88.86</v>
      </c>
      <c r="I41" s="1" t="s">
        <v>11</v>
      </c>
    </row>
    <row r="42" spans="1:9" x14ac:dyDescent="0.45">
      <c r="A42" s="1" t="s">
        <v>174</v>
      </c>
      <c r="B42" s="1" t="s">
        <v>175</v>
      </c>
      <c r="C42" s="1">
        <v>5</v>
      </c>
      <c r="D42" s="2">
        <v>43515</v>
      </c>
      <c r="E42" s="2">
        <v>43602</v>
      </c>
      <c r="F42" s="4">
        <v>0</v>
      </c>
      <c r="G42" s="4">
        <v>783.39</v>
      </c>
      <c r="H42" s="4">
        <v>-783.39</v>
      </c>
      <c r="I42" s="1" t="s">
        <v>11</v>
      </c>
    </row>
    <row r="43" spans="1:9" x14ac:dyDescent="0.45">
      <c r="A43" s="1" t="s">
        <v>174</v>
      </c>
      <c r="B43" s="1" t="s">
        <v>175</v>
      </c>
      <c r="C43" s="1">
        <v>3</v>
      </c>
      <c r="D43" s="2">
        <v>43592</v>
      </c>
      <c r="E43" s="2">
        <v>43602</v>
      </c>
      <c r="F43" s="4">
        <v>0</v>
      </c>
      <c r="G43" s="4">
        <v>367.02</v>
      </c>
      <c r="H43" s="4">
        <v>-367.02</v>
      </c>
      <c r="I43" s="1" t="s">
        <v>11</v>
      </c>
    </row>
    <row r="44" spans="1:9" x14ac:dyDescent="0.45">
      <c r="A44" s="1" t="s">
        <v>182</v>
      </c>
      <c r="B44" s="1" t="s">
        <v>183</v>
      </c>
      <c r="C44" s="1">
        <v>5</v>
      </c>
      <c r="D44" s="2">
        <v>43592</v>
      </c>
      <c r="E44" s="2">
        <v>43602</v>
      </c>
      <c r="F44" s="4">
        <v>0</v>
      </c>
      <c r="G44" s="4">
        <v>988.39</v>
      </c>
      <c r="H44" s="4">
        <v>-988.39</v>
      </c>
      <c r="I44" s="1" t="s">
        <v>11</v>
      </c>
    </row>
    <row r="45" spans="1:9" x14ac:dyDescent="0.45">
      <c r="A45" s="1" t="s">
        <v>184</v>
      </c>
      <c r="B45" s="1" t="s">
        <v>185</v>
      </c>
      <c r="C45" s="1">
        <v>2</v>
      </c>
      <c r="D45" s="2">
        <v>43586</v>
      </c>
      <c r="E45" s="2">
        <v>43602</v>
      </c>
      <c r="F45" s="4">
        <v>0</v>
      </c>
      <c r="G45" s="4">
        <v>342.33</v>
      </c>
      <c r="H45" s="4">
        <v>-342.33</v>
      </c>
      <c r="I45" s="1" t="s">
        <v>11</v>
      </c>
    </row>
    <row r="46" spans="1:9" x14ac:dyDescent="0.45">
      <c r="A46" s="1" t="s">
        <v>184</v>
      </c>
      <c r="B46" s="1" t="s">
        <v>185</v>
      </c>
      <c r="C46" s="1">
        <v>3</v>
      </c>
      <c r="D46" s="2">
        <v>43587</v>
      </c>
      <c r="E46" s="2">
        <v>43602</v>
      </c>
      <c r="F46" s="4">
        <v>0</v>
      </c>
      <c r="G46" s="4">
        <v>400.02</v>
      </c>
      <c r="H46" s="4">
        <v>-400.02</v>
      </c>
      <c r="I46" s="1" t="s">
        <v>11</v>
      </c>
    </row>
    <row r="47" spans="1:9" x14ac:dyDescent="0.45">
      <c r="A47" s="1" t="s">
        <v>184</v>
      </c>
      <c r="B47" s="1" t="s">
        <v>185</v>
      </c>
      <c r="C47" s="1">
        <v>5</v>
      </c>
      <c r="D47" s="2">
        <v>43593</v>
      </c>
      <c r="E47" s="2">
        <v>43602</v>
      </c>
      <c r="F47" s="4">
        <v>0</v>
      </c>
      <c r="G47" s="4">
        <v>120.94</v>
      </c>
      <c r="H47" s="4">
        <v>-120.94</v>
      </c>
      <c r="I47" s="1" t="s">
        <v>11</v>
      </c>
    </row>
    <row r="48" spans="1:9" x14ac:dyDescent="0.45">
      <c r="A48" s="1" t="s">
        <v>216</v>
      </c>
      <c r="B48" s="1" t="s">
        <v>217</v>
      </c>
      <c r="C48" s="1">
        <v>5</v>
      </c>
      <c r="D48" s="2">
        <v>43586</v>
      </c>
      <c r="E48" s="2">
        <v>43602</v>
      </c>
      <c r="F48" s="4">
        <v>0</v>
      </c>
      <c r="G48" s="4">
        <v>1583.39</v>
      </c>
      <c r="H48" s="4">
        <v>-1583.39</v>
      </c>
      <c r="I48" s="1" t="s">
        <v>11</v>
      </c>
    </row>
    <row r="49" spans="1:9" x14ac:dyDescent="0.45">
      <c r="A49" s="1" t="s">
        <v>216</v>
      </c>
      <c r="B49" s="1" t="s">
        <v>217</v>
      </c>
      <c r="C49" s="1">
        <v>10</v>
      </c>
      <c r="D49" s="2">
        <v>43591</v>
      </c>
      <c r="E49" s="2">
        <v>43602</v>
      </c>
      <c r="F49" s="4">
        <v>0</v>
      </c>
      <c r="G49" s="4">
        <v>511.84</v>
      </c>
      <c r="H49" s="4">
        <v>-511.84</v>
      </c>
      <c r="I49" s="1" t="s">
        <v>11</v>
      </c>
    </row>
    <row r="50" spans="1:9" x14ac:dyDescent="0.45">
      <c r="A50" s="1" t="s">
        <v>258</v>
      </c>
      <c r="B50" s="1" t="s">
        <v>259</v>
      </c>
      <c r="C50" s="1">
        <v>10</v>
      </c>
      <c r="D50" s="2">
        <v>43542</v>
      </c>
      <c r="E50" s="2">
        <v>43602</v>
      </c>
      <c r="F50" s="4">
        <v>0</v>
      </c>
      <c r="G50" s="4">
        <v>771.82</v>
      </c>
      <c r="H50" s="4">
        <v>-771.82</v>
      </c>
      <c r="I50" s="1" t="s">
        <v>11</v>
      </c>
    </row>
    <row r="51" spans="1:9" x14ac:dyDescent="0.45">
      <c r="A51" s="1" t="s">
        <v>258</v>
      </c>
      <c r="B51" s="1" t="s">
        <v>259</v>
      </c>
      <c r="C51" s="1">
        <v>10</v>
      </c>
      <c r="D51" s="2">
        <v>43586</v>
      </c>
      <c r="E51" s="2">
        <v>43602</v>
      </c>
      <c r="F51" s="4">
        <v>0</v>
      </c>
      <c r="G51" s="4">
        <v>261.83999999999997</v>
      </c>
      <c r="H51" s="4">
        <v>-261.83999999999997</v>
      </c>
      <c r="I51" s="1" t="s">
        <v>11</v>
      </c>
    </row>
    <row r="52" spans="1:9" x14ac:dyDescent="0.45">
      <c r="A52" s="1" t="s">
        <v>258</v>
      </c>
      <c r="B52" s="1" t="s">
        <v>259</v>
      </c>
      <c r="C52" s="1">
        <v>20</v>
      </c>
      <c r="D52" s="2">
        <v>43592</v>
      </c>
      <c r="E52" s="2">
        <v>43602</v>
      </c>
      <c r="F52" s="4">
        <v>0</v>
      </c>
      <c r="G52" s="4">
        <v>85.73</v>
      </c>
      <c r="H52" s="4">
        <v>-85.73</v>
      </c>
      <c r="I52" s="1" t="s">
        <v>11</v>
      </c>
    </row>
    <row r="53" spans="1:9" x14ac:dyDescent="0.45">
      <c r="A53" s="1" t="s">
        <v>114</v>
      </c>
      <c r="B53" s="1" t="s">
        <v>115</v>
      </c>
      <c r="C53" s="1">
        <v>1</v>
      </c>
      <c r="D53" s="2">
        <v>43578</v>
      </c>
      <c r="E53" s="2">
        <v>43593</v>
      </c>
      <c r="F53" s="4">
        <v>1184.6300000000001</v>
      </c>
      <c r="G53" s="4">
        <v>1155.69</v>
      </c>
      <c r="H53" s="4">
        <v>28.94</v>
      </c>
      <c r="I53" s="1" t="s">
        <v>11</v>
      </c>
    </row>
    <row r="54" spans="1:9" x14ac:dyDescent="0.45">
      <c r="A54" s="1" t="s">
        <v>114</v>
      </c>
      <c r="B54" s="1" t="s">
        <v>115</v>
      </c>
      <c r="C54" s="1">
        <v>2</v>
      </c>
      <c r="D54" s="2">
        <v>43587</v>
      </c>
      <c r="E54" s="2">
        <v>43593</v>
      </c>
      <c r="F54" s="4">
        <v>2369.27</v>
      </c>
      <c r="G54" s="4">
        <v>1606.33</v>
      </c>
      <c r="H54" s="4">
        <v>762.94</v>
      </c>
      <c r="I54" s="1" t="s">
        <v>11</v>
      </c>
    </row>
    <row r="55" spans="1:9" x14ac:dyDescent="0.45">
      <c r="A55" s="1" t="s">
        <v>252</v>
      </c>
      <c r="B55" s="1" t="s">
        <v>253</v>
      </c>
      <c r="C55" s="1">
        <v>1</v>
      </c>
      <c r="D55" s="2">
        <v>43523</v>
      </c>
      <c r="E55" s="2">
        <v>43592</v>
      </c>
      <c r="F55" s="4">
        <v>536.82000000000005</v>
      </c>
      <c r="G55" s="4">
        <v>455.64</v>
      </c>
      <c r="H55" s="4">
        <v>81.180000000000007</v>
      </c>
      <c r="I55" s="1" t="s">
        <v>11</v>
      </c>
    </row>
    <row r="56" spans="1:9" x14ac:dyDescent="0.45">
      <c r="A56" s="1" t="s">
        <v>252</v>
      </c>
      <c r="B56" s="1" t="s">
        <v>253</v>
      </c>
      <c r="C56" s="1">
        <v>1</v>
      </c>
      <c r="D56" s="2">
        <v>43586</v>
      </c>
      <c r="E56" s="2">
        <v>43592</v>
      </c>
      <c r="F56" s="4">
        <v>536.82000000000005</v>
      </c>
      <c r="G56" s="4">
        <v>385.64</v>
      </c>
      <c r="H56" s="4">
        <v>151.18</v>
      </c>
      <c r="I56" s="1" t="s">
        <v>11</v>
      </c>
    </row>
    <row r="57" spans="1:9" x14ac:dyDescent="0.45">
      <c r="A57" s="1" t="s">
        <v>186</v>
      </c>
      <c r="B57" s="1" t="s">
        <v>187</v>
      </c>
      <c r="C57" s="1">
        <v>5</v>
      </c>
      <c r="D57" s="2">
        <v>43570</v>
      </c>
      <c r="E57" s="2">
        <v>43591</v>
      </c>
      <c r="F57" s="4">
        <v>1741.57</v>
      </c>
      <c r="G57" s="4">
        <v>1498.39</v>
      </c>
      <c r="H57" s="4">
        <v>243.18</v>
      </c>
      <c r="I57" s="1" t="s">
        <v>11</v>
      </c>
    </row>
    <row r="58" spans="1:9" x14ac:dyDescent="0.45">
      <c r="A58" s="1" t="s">
        <v>188</v>
      </c>
      <c r="B58" s="1" t="s">
        <v>189</v>
      </c>
      <c r="C58" s="1">
        <v>5</v>
      </c>
      <c r="D58" s="2">
        <v>43570</v>
      </c>
      <c r="E58" s="2">
        <v>43587</v>
      </c>
      <c r="F58" s="4">
        <v>386.55</v>
      </c>
      <c r="G58" s="4">
        <v>363.39</v>
      </c>
      <c r="H58" s="4">
        <v>23.16</v>
      </c>
      <c r="I58" s="1" t="s">
        <v>11</v>
      </c>
    </row>
    <row r="59" spans="1:9" x14ac:dyDescent="0.45">
      <c r="A59" s="1" t="s">
        <v>218</v>
      </c>
      <c r="B59" s="1" t="s">
        <v>219</v>
      </c>
      <c r="C59" s="1">
        <v>5</v>
      </c>
      <c r="D59" s="2">
        <v>43586</v>
      </c>
      <c r="E59" s="2">
        <v>43587</v>
      </c>
      <c r="F59" s="4">
        <v>186.55</v>
      </c>
      <c r="G59" s="4">
        <v>30.19</v>
      </c>
      <c r="H59" s="4">
        <v>156.36000000000001</v>
      </c>
      <c r="I59" s="1" t="s">
        <v>11</v>
      </c>
    </row>
    <row r="60" spans="1:9" x14ac:dyDescent="0.45">
      <c r="A60" s="1" t="s">
        <v>256</v>
      </c>
      <c r="B60" s="1" t="s">
        <v>257</v>
      </c>
      <c r="C60" s="1">
        <v>10</v>
      </c>
      <c r="D60" s="2">
        <v>43537</v>
      </c>
      <c r="E60" s="2">
        <v>43587</v>
      </c>
      <c r="F60" s="4">
        <v>911.44</v>
      </c>
      <c r="G60" s="4">
        <v>426.87</v>
      </c>
      <c r="H60" s="4">
        <v>484.57</v>
      </c>
      <c r="I60" s="1" t="s">
        <v>11</v>
      </c>
    </row>
    <row r="61" spans="1:9" x14ac:dyDescent="0.45">
      <c r="A61" s="1" t="s">
        <v>256</v>
      </c>
      <c r="B61" s="1" t="s">
        <v>257</v>
      </c>
      <c r="C61" s="1">
        <v>10</v>
      </c>
      <c r="D61" s="2">
        <v>43567</v>
      </c>
      <c r="E61" s="2">
        <v>43587</v>
      </c>
      <c r="F61" s="4">
        <v>911.44</v>
      </c>
      <c r="G61" s="4">
        <v>681.84</v>
      </c>
      <c r="H61" s="4">
        <v>229.6</v>
      </c>
      <c r="I61" s="1" t="s">
        <v>11</v>
      </c>
    </row>
    <row r="62" spans="1:9" x14ac:dyDescent="0.45">
      <c r="A62" s="1" t="s">
        <v>256</v>
      </c>
      <c r="B62" s="1" t="s">
        <v>257</v>
      </c>
      <c r="C62" s="1">
        <v>10</v>
      </c>
      <c r="D62" s="2">
        <v>43570</v>
      </c>
      <c r="E62" s="2">
        <v>43587</v>
      </c>
      <c r="F62" s="4">
        <v>911.45</v>
      </c>
      <c r="G62" s="4">
        <v>551.84</v>
      </c>
      <c r="H62" s="4">
        <v>359.61</v>
      </c>
      <c r="I62" s="1" t="s">
        <v>11</v>
      </c>
    </row>
    <row r="63" spans="1:9" x14ac:dyDescent="0.45">
      <c r="A63" s="1" t="s">
        <v>76</v>
      </c>
      <c r="B63" s="1" t="s">
        <v>77</v>
      </c>
      <c r="C63" s="1">
        <v>5</v>
      </c>
      <c r="D63" s="2">
        <v>43571</v>
      </c>
      <c r="E63" s="2">
        <v>43586</v>
      </c>
      <c r="F63" s="4">
        <v>231.55</v>
      </c>
      <c r="G63" s="4">
        <v>95.14</v>
      </c>
      <c r="H63" s="4">
        <v>136.41</v>
      </c>
      <c r="I63" s="1" t="s">
        <v>11</v>
      </c>
    </row>
    <row r="64" spans="1:9" x14ac:dyDescent="0.45">
      <c r="A64" s="1" t="s">
        <v>90</v>
      </c>
      <c r="B64" s="1" t="s">
        <v>91</v>
      </c>
      <c r="C64" s="1">
        <v>2</v>
      </c>
      <c r="D64" s="2">
        <v>43543</v>
      </c>
      <c r="E64" s="2">
        <v>43586</v>
      </c>
      <c r="F64" s="4">
        <v>2443.61</v>
      </c>
      <c r="G64" s="4">
        <v>1368.32</v>
      </c>
      <c r="H64" s="4">
        <v>1075.29</v>
      </c>
      <c r="I64" s="1" t="s">
        <v>11</v>
      </c>
    </row>
    <row r="65" spans="1:9" x14ac:dyDescent="0.45">
      <c r="A65" s="1" t="s">
        <v>244</v>
      </c>
      <c r="B65" s="1" t="s">
        <v>245</v>
      </c>
      <c r="C65" s="1">
        <v>3</v>
      </c>
      <c r="D65" s="2">
        <v>43572</v>
      </c>
      <c r="E65" s="2">
        <v>43586</v>
      </c>
      <c r="F65" s="4">
        <v>3703.9</v>
      </c>
      <c r="G65" s="4">
        <v>2077.02</v>
      </c>
      <c r="H65" s="4">
        <v>1626.88</v>
      </c>
      <c r="I65" s="1" t="s">
        <v>11</v>
      </c>
    </row>
    <row r="66" spans="1:9" x14ac:dyDescent="0.45">
      <c r="A66" s="1" t="s">
        <v>86</v>
      </c>
      <c r="B66" s="1" t="s">
        <v>87</v>
      </c>
      <c r="C66" s="1">
        <v>2</v>
      </c>
      <c r="D66" s="2">
        <v>43579</v>
      </c>
      <c r="E66" s="2">
        <v>43581</v>
      </c>
      <c r="F66" s="4">
        <v>0</v>
      </c>
      <c r="G66" s="4">
        <v>896.33</v>
      </c>
      <c r="H66" s="4">
        <v>-896.33</v>
      </c>
      <c r="I66" s="1" t="s">
        <v>11</v>
      </c>
    </row>
    <row r="67" spans="1:9" x14ac:dyDescent="0.45">
      <c r="A67" s="1" t="s">
        <v>118</v>
      </c>
      <c r="B67" s="1" t="s">
        <v>119</v>
      </c>
      <c r="C67" s="1">
        <v>3</v>
      </c>
      <c r="D67" s="2">
        <v>43580</v>
      </c>
      <c r="E67" s="2">
        <v>43581</v>
      </c>
      <c r="F67" s="4">
        <v>0</v>
      </c>
      <c r="G67" s="4">
        <v>110.37</v>
      </c>
      <c r="H67" s="4">
        <v>-110.37</v>
      </c>
      <c r="I67" s="1" t="s">
        <v>11</v>
      </c>
    </row>
    <row r="68" spans="1:9" x14ac:dyDescent="0.45">
      <c r="A68" s="1" t="s">
        <v>112</v>
      </c>
      <c r="B68" s="1" t="s">
        <v>113</v>
      </c>
      <c r="C68" s="1">
        <v>1</v>
      </c>
      <c r="D68" s="2">
        <v>43572</v>
      </c>
      <c r="E68" s="2">
        <v>43578</v>
      </c>
      <c r="F68" s="4">
        <v>1549.32</v>
      </c>
      <c r="G68" s="4">
        <v>1005.64</v>
      </c>
      <c r="H68" s="4">
        <v>543.67999999999995</v>
      </c>
      <c r="I68" s="1" t="s">
        <v>11</v>
      </c>
    </row>
    <row r="69" spans="1:9" x14ac:dyDescent="0.45">
      <c r="A69" s="1" t="s">
        <v>70</v>
      </c>
      <c r="B69" s="1" t="s">
        <v>71</v>
      </c>
      <c r="C69" s="1">
        <v>5</v>
      </c>
      <c r="D69" s="2">
        <v>43537</v>
      </c>
      <c r="E69" s="2">
        <v>43577</v>
      </c>
      <c r="F69" s="4">
        <v>2591.5500000000002</v>
      </c>
      <c r="G69" s="4">
        <v>1368.39</v>
      </c>
      <c r="H69" s="4">
        <v>1223.1600000000001</v>
      </c>
      <c r="I69" s="1" t="s">
        <v>11</v>
      </c>
    </row>
    <row r="70" spans="1:9" x14ac:dyDescent="0.45">
      <c r="A70" s="1" t="s">
        <v>152</v>
      </c>
      <c r="B70" s="1" t="s">
        <v>153</v>
      </c>
      <c r="C70" s="1">
        <v>5</v>
      </c>
      <c r="D70" s="2">
        <v>43515</v>
      </c>
      <c r="E70" s="2">
        <v>43573</v>
      </c>
      <c r="F70" s="4">
        <v>0</v>
      </c>
      <c r="G70" s="4">
        <v>608.44000000000005</v>
      </c>
      <c r="H70" s="4">
        <v>-608.44000000000005</v>
      </c>
      <c r="I70" s="1" t="s">
        <v>11</v>
      </c>
    </row>
    <row r="71" spans="1:9" x14ac:dyDescent="0.45">
      <c r="A71" s="1" t="s">
        <v>152</v>
      </c>
      <c r="B71" s="1" t="s">
        <v>153</v>
      </c>
      <c r="C71" s="1">
        <v>5</v>
      </c>
      <c r="D71" s="2">
        <v>43536</v>
      </c>
      <c r="E71" s="2">
        <v>43573</v>
      </c>
      <c r="F71" s="4">
        <v>0</v>
      </c>
      <c r="G71" s="4">
        <v>233.44</v>
      </c>
      <c r="H71" s="4">
        <v>-233.44</v>
      </c>
      <c r="I71" s="1" t="s">
        <v>11</v>
      </c>
    </row>
    <row r="72" spans="1:9" x14ac:dyDescent="0.45">
      <c r="A72" s="1" t="s">
        <v>66</v>
      </c>
      <c r="B72" s="1" t="s">
        <v>67</v>
      </c>
      <c r="C72" s="1">
        <v>500</v>
      </c>
      <c r="D72" s="2">
        <v>43567</v>
      </c>
      <c r="E72" s="2">
        <v>43572</v>
      </c>
      <c r="F72" s="4">
        <v>9924.84</v>
      </c>
      <c r="G72" s="4">
        <v>8573.41</v>
      </c>
      <c r="H72" s="4">
        <v>1351.43</v>
      </c>
      <c r="I72" s="1" t="s">
        <v>11</v>
      </c>
    </row>
    <row r="73" spans="1:9" x14ac:dyDescent="0.45">
      <c r="A73" s="1" t="s">
        <v>140</v>
      </c>
      <c r="B73" s="1" t="s">
        <v>141</v>
      </c>
      <c r="C73" s="1">
        <v>100</v>
      </c>
      <c r="D73" s="2">
        <v>43508</v>
      </c>
      <c r="E73" s="2">
        <v>43570</v>
      </c>
      <c r="F73" s="4">
        <v>3804.39</v>
      </c>
      <c r="G73" s="4">
        <v>3924.28</v>
      </c>
      <c r="H73" s="4">
        <v>-119.89</v>
      </c>
      <c r="I73" s="1" t="s">
        <v>11</v>
      </c>
    </row>
    <row r="74" spans="1:9" x14ac:dyDescent="0.45">
      <c r="A74" s="1" t="s">
        <v>62</v>
      </c>
      <c r="B74" s="1" t="s">
        <v>63</v>
      </c>
      <c r="C74" s="1">
        <v>2</v>
      </c>
      <c r="D74" s="2">
        <v>43543</v>
      </c>
      <c r="E74" s="2">
        <v>43567</v>
      </c>
      <c r="F74" s="4">
        <v>3249.62</v>
      </c>
      <c r="G74" s="4">
        <v>610.32000000000005</v>
      </c>
      <c r="H74" s="4">
        <v>2639.3</v>
      </c>
      <c r="I74" s="1" t="s">
        <v>11</v>
      </c>
    </row>
    <row r="75" spans="1:9" x14ac:dyDescent="0.45">
      <c r="A75" s="1" t="s">
        <v>64</v>
      </c>
      <c r="B75" s="1" t="s">
        <v>65</v>
      </c>
      <c r="C75" s="1">
        <v>2</v>
      </c>
      <c r="D75" s="2">
        <v>43543</v>
      </c>
      <c r="E75" s="2">
        <v>43567</v>
      </c>
      <c r="F75" s="4">
        <v>262.62</v>
      </c>
      <c r="G75" s="4">
        <v>2471.38</v>
      </c>
      <c r="H75" s="4">
        <v>-2208.7600000000002</v>
      </c>
      <c r="I75" s="1" t="s">
        <v>11</v>
      </c>
    </row>
    <row r="76" spans="1:9" x14ac:dyDescent="0.45">
      <c r="A76" s="1" t="s">
        <v>156</v>
      </c>
      <c r="B76" s="1" t="s">
        <v>157</v>
      </c>
      <c r="C76" s="1">
        <v>5</v>
      </c>
      <c r="D76" s="2">
        <v>43515</v>
      </c>
      <c r="E76" s="2">
        <v>43567</v>
      </c>
      <c r="F76" s="4">
        <v>766.59</v>
      </c>
      <c r="G76" s="4">
        <v>770.92</v>
      </c>
      <c r="H76" s="4">
        <v>-4.33</v>
      </c>
      <c r="I76" s="1" t="s">
        <v>11</v>
      </c>
    </row>
    <row r="77" spans="1:9" x14ac:dyDescent="0.45">
      <c r="A77" s="1" t="s">
        <v>156</v>
      </c>
      <c r="B77" s="1" t="s">
        <v>157</v>
      </c>
      <c r="C77" s="1">
        <v>5</v>
      </c>
      <c r="D77" s="2">
        <v>43536</v>
      </c>
      <c r="E77" s="2">
        <v>43567</v>
      </c>
      <c r="F77" s="4">
        <v>911.59</v>
      </c>
      <c r="G77" s="4">
        <v>770.92</v>
      </c>
      <c r="H77" s="4">
        <v>140.66999999999999</v>
      </c>
      <c r="I77" s="1" t="s">
        <v>11</v>
      </c>
    </row>
    <row r="78" spans="1:9" x14ac:dyDescent="0.45">
      <c r="A78" s="1" t="s">
        <v>144</v>
      </c>
      <c r="B78" s="1" t="s">
        <v>145</v>
      </c>
      <c r="C78" s="1">
        <v>2</v>
      </c>
      <c r="D78" s="2">
        <v>43539</v>
      </c>
      <c r="E78" s="2">
        <v>43565</v>
      </c>
      <c r="F78" s="4">
        <v>273.66000000000003</v>
      </c>
      <c r="G78" s="4">
        <v>126.07</v>
      </c>
      <c r="H78" s="4">
        <v>147.59</v>
      </c>
      <c r="I78" s="1" t="s">
        <v>11</v>
      </c>
    </row>
    <row r="79" spans="1:9" x14ac:dyDescent="0.45">
      <c r="A79" s="1" t="s">
        <v>154</v>
      </c>
      <c r="B79" s="1" t="s">
        <v>155</v>
      </c>
      <c r="C79" s="1">
        <v>5</v>
      </c>
      <c r="D79" s="2">
        <v>43515</v>
      </c>
      <c r="E79" s="2">
        <v>43564</v>
      </c>
      <c r="F79" s="4">
        <v>126.55</v>
      </c>
      <c r="G79" s="4">
        <v>10.19</v>
      </c>
      <c r="H79" s="4">
        <v>116.36</v>
      </c>
      <c r="I79" s="1" t="s">
        <v>11</v>
      </c>
    </row>
    <row r="80" spans="1:9" x14ac:dyDescent="0.45">
      <c r="A80" s="1" t="s">
        <v>198</v>
      </c>
      <c r="B80" s="1" t="s">
        <v>199</v>
      </c>
      <c r="C80" s="1">
        <v>5</v>
      </c>
      <c r="D80" s="2">
        <v>43538</v>
      </c>
      <c r="E80" s="2">
        <v>43563</v>
      </c>
      <c r="F80" s="4">
        <v>421.6</v>
      </c>
      <c r="G80" s="4">
        <v>268.39</v>
      </c>
      <c r="H80" s="4">
        <v>153.21</v>
      </c>
      <c r="I80" s="1" t="s">
        <v>11</v>
      </c>
    </row>
    <row r="81" spans="1:9" x14ac:dyDescent="0.45">
      <c r="A81" s="1" t="s">
        <v>92</v>
      </c>
      <c r="B81" s="1" t="s">
        <v>93</v>
      </c>
      <c r="C81" s="1">
        <v>2</v>
      </c>
      <c r="D81" s="2">
        <v>43543</v>
      </c>
      <c r="E81" s="2">
        <v>43549</v>
      </c>
      <c r="F81" s="4">
        <v>170.62</v>
      </c>
      <c r="G81" s="4">
        <v>186.32</v>
      </c>
      <c r="H81" s="4">
        <v>-15.7</v>
      </c>
      <c r="I81" s="1" t="s">
        <v>11</v>
      </c>
    </row>
    <row r="82" spans="1:9" x14ac:dyDescent="0.45">
      <c r="A82" s="1" t="s">
        <v>56</v>
      </c>
      <c r="B82" s="1" t="s">
        <v>57</v>
      </c>
      <c r="C82" s="1">
        <v>1</v>
      </c>
      <c r="D82" s="2">
        <v>43528</v>
      </c>
      <c r="E82" s="2">
        <v>43545</v>
      </c>
      <c r="F82" s="4">
        <v>1074.3399999999999</v>
      </c>
      <c r="G82" s="4">
        <v>878.64</v>
      </c>
      <c r="H82" s="4">
        <v>195.7</v>
      </c>
      <c r="I82" s="1" t="s">
        <v>11</v>
      </c>
    </row>
    <row r="83" spans="1:9" x14ac:dyDescent="0.45">
      <c r="A83" s="1" t="s">
        <v>250</v>
      </c>
      <c r="B83" s="1" t="s">
        <v>251</v>
      </c>
      <c r="C83" s="1">
        <v>100</v>
      </c>
      <c r="D83" s="2">
        <v>43543</v>
      </c>
      <c r="E83" s="2">
        <v>43545</v>
      </c>
      <c r="F83" s="4">
        <v>1957.02</v>
      </c>
      <c r="G83" s="4">
        <v>1950.6</v>
      </c>
      <c r="H83" s="4">
        <v>6.42</v>
      </c>
      <c r="I83" s="1" t="s">
        <v>11</v>
      </c>
    </row>
    <row r="84" spans="1:9" x14ac:dyDescent="0.45">
      <c r="A84" s="1" t="s">
        <v>254</v>
      </c>
      <c r="B84" s="1" t="s">
        <v>255</v>
      </c>
      <c r="C84" s="1">
        <v>6</v>
      </c>
      <c r="D84" s="2">
        <v>43537</v>
      </c>
      <c r="E84" s="2">
        <v>43542</v>
      </c>
      <c r="F84" s="4">
        <v>386.92</v>
      </c>
      <c r="G84" s="4">
        <v>178.47</v>
      </c>
      <c r="H84" s="4">
        <v>208.45</v>
      </c>
      <c r="I84" s="1" t="s">
        <v>11</v>
      </c>
    </row>
    <row r="85" spans="1:9" x14ac:dyDescent="0.45">
      <c r="A85" s="1" t="s">
        <v>254</v>
      </c>
      <c r="B85" s="1" t="s">
        <v>255</v>
      </c>
      <c r="C85" s="1">
        <v>1</v>
      </c>
      <c r="D85" s="2">
        <v>43537</v>
      </c>
      <c r="E85" s="2">
        <v>43542</v>
      </c>
      <c r="F85" s="4">
        <v>64.3</v>
      </c>
      <c r="G85" s="4">
        <v>29.74</v>
      </c>
      <c r="H85" s="4">
        <v>34.56</v>
      </c>
      <c r="I85" s="1" t="s">
        <v>11</v>
      </c>
    </row>
    <row r="86" spans="1:9" x14ac:dyDescent="0.45">
      <c r="A86" s="1" t="s">
        <v>94</v>
      </c>
      <c r="B86" s="1" t="s">
        <v>95</v>
      </c>
      <c r="C86" s="1">
        <v>10</v>
      </c>
      <c r="D86" s="2">
        <v>43339</v>
      </c>
      <c r="E86" s="2">
        <v>43539</v>
      </c>
      <c r="F86" s="4">
        <v>0</v>
      </c>
      <c r="G86" s="4">
        <v>1536.84</v>
      </c>
      <c r="H86" s="4">
        <v>-1536.84</v>
      </c>
      <c r="I86" s="1" t="s">
        <v>11</v>
      </c>
    </row>
    <row r="87" spans="1:9" x14ac:dyDescent="0.45">
      <c r="A87" s="1" t="s">
        <v>150</v>
      </c>
      <c r="B87" s="1" t="s">
        <v>151</v>
      </c>
      <c r="C87" s="1">
        <v>4</v>
      </c>
      <c r="D87" s="2">
        <v>43375</v>
      </c>
      <c r="E87" s="2">
        <v>43539</v>
      </c>
      <c r="F87" s="4">
        <v>0</v>
      </c>
      <c r="G87" s="4">
        <v>735.69</v>
      </c>
      <c r="H87" s="4">
        <v>-735.69</v>
      </c>
      <c r="I87" s="1" t="s">
        <v>11</v>
      </c>
    </row>
    <row r="88" spans="1:9" x14ac:dyDescent="0.45">
      <c r="A88" s="1" t="s">
        <v>150</v>
      </c>
      <c r="B88" s="1" t="s">
        <v>151</v>
      </c>
      <c r="C88" s="1">
        <v>6</v>
      </c>
      <c r="D88" s="2">
        <v>43446</v>
      </c>
      <c r="E88" s="2">
        <v>43539</v>
      </c>
      <c r="F88" s="4">
        <v>0</v>
      </c>
      <c r="G88" s="4">
        <v>157.71</v>
      </c>
      <c r="H88" s="4">
        <v>-157.71</v>
      </c>
      <c r="I88" s="1" t="s">
        <v>11</v>
      </c>
    </row>
    <row r="89" spans="1:9" x14ac:dyDescent="0.45">
      <c r="A89" s="1" t="s">
        <v>150</v>
      </c>
      <c r="B89" s="1" t="s">
        <v>151</v>
      </c>
      <c r="C89" s="1">
        <v>20</v>
      </c>
      <c r="D89" s="2">
        <v>43474</v>
      </c>
      <c r="E89" s="2">
        <v>43539</v>
      </c>
      <c r="F89" s="4">
        <v>0</v>
      </c>
      <c r="G89" s="4">
        <v>105.69</v>
      </c>
      <c r="H89" s="4">
        <v>-105.69</v>
      </c>
      <c r="I89" s="1" t="s">
        <v>11</v>
      </c>
    </row>
    <row r="90" spans="1:9" x14ac:dyDescent="0.45">
      <c r="A90" s="1" t="s">
        <v>150</v>
      </c>
      <c r="B90" s="1" t="s">
        <v>151</v>
      </c>
      <c r="C90" s="1">
        <v>70</v>
      </c>
      <c r="D90" s="2">
        <v>43502</v>
      </c>
      <c r="E90" s="2">
        <v>43539</v>
      </c>
      <c r="F90" s="4">
        <v>0</v>
      </c>
      <c r="G90" s="4">
        <v>149.66999999999999</v>
      </c>
      <c r="H90" s="4">
        <v>-149.66999999999999</v>
      </c>
      <c r="I90" s="1" t="s">
        <v>11</v>
      </c>
    </row>
    <row r="91" spans="1:9" x14ac:dyDescent="0.45">
      <c r="A91" s="1" t="s">
        <v>78</v>
      </c>
      <c r="B91" s="1" t="s">
        <v>79</v>
      </c>
      <c r="C91" s="1">
        <v>3</v>
      </c>
      <c r="D91" s="2">
        <v>43502</v>
      </c>
      <c r="E91" s="2">
        <v>43537</v>
      </c>
      <c r="F91" s="4">
        <v>867.18</v>
      </c>
      <c r="G91" s="4">
        <v>2542.0100000000002</v>
      </c>
      <c r="H91" s="4">
        <v>-1674.83</v>
      </c>
      <c r="I91" s="1" t="s">
        <v>11</v>
      </c>
    </row>
    <row r="92" spans="1:9" x14ac:dyDescent="0.45">
      <c r="A92" s="1" t="s">
        <v>78</v>
      </c>
      <c r="B92" s="1" t="s">
        <v>79</v>
      </c>
      <c r="C92" s="1">
        <v>5</v>
      </c>
      <c r="D92" s="2">
        <v>43518</v>
      </c>
      <c r="E92" s="2">
        <v>43537</v>
      </c>
      <c r="F92" s="4">
        <v>1445.31</v>
      </c>
      <c r="G92" s="4">
        <v>848.39</v>
      </c>
      <c r="H92" s="4">
        <v>596.91999999999996</v>
      </c>
      <c r="I92" s="1" t="s">
        <v>11</v>
      </c>
    </row>
    <row r="93" spans="1:9" x14ac:dyDescent="0.45">
      <c r="A93" s="1" t="s">
        <v>78</v>
      </c>
      <c r="B93" s="1" t="s">
        <v>79</v>
      </c>
      <c r="C93" s="1">
        <v>2</v>
      </c>
      <c r="D93" s="2">
        <v>43522</v>
      </c>
      <c r="E93" s="2">
        <v>43537</v>
      </c>
      <c r="F93" s="4">
        <v>578.12</v>
      </c>
      <c r="G93" s="4">
        <v>266.33</v>
      </c>
      <c r="H93" s="4">
        <v>311.79000000000002</v>
      </c>
      <c r="I93" s="1" t="s">
        <v>11</v>
      </c>
    </row>
    <row r="94" spans="1:9" x14ac:dyDescent="0.45">
      <c r="A94" s="1" t="s">
        <v>78</v>
      </c>
      <c r="B94" s="1" t="s">
        <v>79</v>
      </c>
      <c r="C94" s="1">
        <v>10</v>
      </c>
      <c r="D94" s="2">
        <v>43536</v>
      </c>
      <c r="E94" s="2">
        <v>43537</v>
      </c>
      <c r="F94" s="4">
        <v>2890.62</v>
      </c>
      <c r="G94" s="4">
        <v>1601.82</v>
      </c>
      <c r="H94" s="4">
        <v>1288.8</v>
      </c>
      <c r="I94" s="1" t="s">
        <v>11</v>
      </c>
    </row>
    <row r="95" spans="1:9" x14ac:dyDescent="0.45">
      <c r="A95" s="1" t="s">
        <v>80</v>
      </c>
      <c r="B95" s="1" t="s">
        <v>81</v>
      </c>
      <c r="C95" s="1">
        <v>1</v>
      </c>
      <c r="D95" s="2">
        <v>43516</v>
      </c>
      <c r="E95" s="2">
        <v>43537</v>
      </c>
      <c r="F95" s="4">
        <v>1700.33</v>
      </c>
      <c r="G95" s="4">
        <v>1376.64</v>
      </c>
      <c r="H95" s="4">
        <v>323.69</v>
      </c>
      <c r="I95" s="1" t="s">
        <v>11</v>
      </c>
    </row>
    <row r="96" spans="1:9" x14ac:dyDescent="0.45">
      <c r="A96" s="1" t="s">
        <v>172</v>
      </c>
      <c r="B96" s="1" t="s">
        <v>173</v>
      </c>
      <c r="C96" s="1">
        <v>1</v>
      </c>
      <c r="D96" s="2">
        <v>43515</v>
      </c>
      <c r="E96" s="2">
        <v>43536</v>
      </c>
      <c r="F96" s="4">
        <v>319.3</v>
      </c>
      <c r="G96" s="4">
        <v>177.64</v>
      </c>
      <c r="H96" s="4">
        <v>141.66</v>
      </c>
      <c r="I96" s="1" t="s">
        <v>11</v>
      </c>
    </row>
    <row r="97" spans="1:9" x14ac:dyDescent="0.45">
      <c r="A97" s="1" t="s">
        <v>68</v>
      </c>
      <c r="B97" s="1" t="s">
        <v>69</v>
      </c>
      <c r="C97" s="1">
        <v>1</v>
      </c>
      <c r="D97" s="2">
        <v>43530</v>
      </c>
      <c r="E97" s="2">
        <v>43530</v>
      </c>
      <c r="F97" s="4">
        <v>94.95</v>
      </c>
      <c r="G97" s="4">
        <v>111.34</v>
      </c>
      <c r="H97" s="4">
        <v>-16.39</v>
      </c>
      <c r="I97" s="1" t="s">
        <v>11</v>
      </c>
    </row>
    <row r="98" spans="1:9" x14ac:dyDescent="0.45">
      <c r="A98" s="1" t="s">
        <v>108</v>
      </c>
      <c r="B98" s="1" t="s">
        <v>109</v>
      </c>
      <c r="C98" s="1">
        <v>1</v>
      </c>
      <c r="D98" s="2">
        <v>43500</v>
      </c>
      <c r="E98" s="2">
        <v>43530</v>
      </c>
      <c r="F98" s="4">
        <v>1902.64</v>
      </c>
      <c r="G98" s="4">
        <v>2648.64</v>
      </c>
      <c r="H98" s="4">
        <v>-746</v>
      </c>
      <c r="I98" s="1" t="s">
        <v>11</v>
      </c>
    </row>
    <row r="99" spans="1:9" x14ac:dyDescent="0.45">
      <c r="A99" s="1" t="s">
        <v>108</v>
      </c>
      <c r="B99" s="1" t="s">
        <v>109</v>
      </c>
      <c r="C99" s="1">
        <v>1</v>
      </c>
      <c r="D99" s="2">
        <v>43517</v>
      </c>
      <c r="E99" s="2">
        <v>43530</v>
      </c>
      <c r="F99" s="4">
        <v>1902.64</v>
      </c>
      <c r="G99" s="4">
        <v>755.64</v>
      </c>
      <c r="H99" s="4">
        <v>1147</v>
      </c>
      <c r="I99" s="1" t="s">
        <v>11</v>
      </c>
    </row>
    <row r="100" spans="1:9" x14ac:dyDescent="0.45">
      <c r="A100" s="1" t="s">
        <v>108</v>
      </c>
      <c r="B100" s="1" t="s">
        <v>109</v>
      </c>
      <c r="C100" s="1">
        <v>1</v>
      </c>
      <c r="D100" s="2">
        <v>43523</v>
      </c>
      <c r="E100" s="2">
        <v>43530</v>
      </c>
      <c r="F100" s="4">
        <v>1902.63</v>
      </c>
      <c r="G100" s="4">
        <v>789.64</v>
      </c>
      <c r="H100" s="4">
        <v>1112.99</v>
      </c>
      <c r="I100" s="1" t="s">
        <v>11</v>
      </c>
    </row>
    <row r="101" spans="1:9" x14ac:dyDescent="0.45">
      <c r="A101" s="1" t="s">
        <v>102</v>
      </c>
      <c r="B101" s="1" t="s">
        <v>103</v>
      </c>
      <c r="C101" s="1">
        <v>1</v>
      </c>
      <c r="D101" s="2">
        <v>43500</v>
      </c>
      <c r="E101" s="2">
        <v>43529</v>
      </c>
      <c r="F101" s="4">
        <v>4043.02</v>
      </c>
      <c r="G101" s="4">
        <v>3989.64</v>
      </c>
      <c r="H101" s="4">
        <v>53.38</v>
      </c>
      <c r="I101" s="1" t="s">
        <v>11</v>
      </c>
    </row>
    <row r="102" spans="1:9" x14ac:dyDescent="0.45">
      <c r="A102" s="1" t="s">
        <v>102</v>
      </c>
      <c r="B102" s="1" t="s">
        <v>103</v>
      </c>
      <c r="C102" s="1">
        <v>1</v>
      </c>
      <c r="D102" s="2">
        <v>43502</v>
      </c>
      <c r="E102" s="2">
        <v>43529</v>
      </c>
      <c r="F102" s="4">
        <v>4043.02</v>
      </c>
      <c r="G102" s="4">
        <v>2524.64</v>
      </c>
      <c r="H102" s="4">
        <v>1518.38</v>
      </c>
      <c r="I102" s="1" t="s">
        <v>11</v>
      </c>
    </row>
    <row r="103" spans="1:9" x14ac:dyDescent="0.45">
      <c r="A103" s="1" t="s">
        <v>102</v>
      </c>
      <c r="B103" s="1" t="s">
        <v>103</v>
      </c>
      <c r="C103" s="1">
        <v>1</v>
      </c>
      <c r="D103" s="2">
        <v>43516</v>
      </c>
      <c r="E103" s="2">
        <v>43529</v>
      </c>
      <c r="F103" s="4">
        <v>4043.02</v>
      </c>
      <c r="G103" s="4">
        <v>2088.64</v>
      </c>
      <c r="H103" s="4">
        <v>1954.38</v>
      </c>
      <c r="I103" s="1" t="s">
        <v>11</v>
      </c>
    </row>
    <row r="104" spans="1:9" x14ac:dyDescent="0.45">
      <c r="A104" s="1" t="s">
        <v>102</v>
      </c>
      <c r="B104" s="1" t="s">
        <v>103</v>
      </c>
      <c r="C104" s="1">
        <v>1</v>
      </c>
      <c r="D104" s="2">
        <v>43523</v>
      </c>
      <c r="E104" s="2">
        <v>43529</v>
      </c>
      <c r="F104" s="4">
        <v>4043.02</v>
      </c>
      <c r="G104" s="4">
        <v>1235.6400000000001</v>
      </c>
      <c r="H104" s="4">
        <v>2807.38</v>
      </c>
      <c r="I104" s="1" t="s">
        <v>11</v>
      </c>
    </row>
    <row r="105" spans="1:9" x14ac:dyDescent="0.45">
      <c r="A105" s="1" t="s">
        <v>96</v>
      </c>
      <c r="B105" s="1" t="s">
        <v>97</v>
      </c>
      <c r="C105" s="1">
        <v>300</v>
      </c>
      <c r="D105" s="2">
        <v>43528</v>
      </c>
      <c r="E105" s="2">
        <v>43525</v>
      </c>
      <c r="F105" s="4">
        <v>342523.58</v>
      </c>
      <c r="G105" s="4">
        <v>347529.84</v>
      </c>
      <c r="H105" s="4">
        <v>-5006.26</v>
      </c>
      <c r="I105" s="1" t="s">
        <v>11</v>
      </c>
    </row>
    <row r="106" spans="1:9" x14ac:dyDescent="0.45">
      <c r="A106" s="1" t="s">
        <v>142</v>
      </c>
      <c r="B106" s="1" t="s">
        <v>143</v>
      </c>
      <c r="C106" s="1">
        <v>100</v>
      </c>
      <c r="D106" s="2">
        <v>43501</v>
      </c>
      <c r="E106" s="2">
        <v>43523</v>
      </c>
      <c r="F106" s="4">
        <v>6002.92</v>
      </c>
      <c r="G106" s="4">
        <v>6014.95</v>
      </c>
      <c r="H106" s="4">
        <v>-12.03</v>
      </c>
      <c r="I106" s="1" t="s">
        <v>11</v>
      </c>
    </row>
    <row r="107" spans="1:9" x14ac:dyDescent="0.45">
      <c r="A107" s="1" t="s">
        <v>100</v>
      </c>
      <c r="B107" s="1" t="s">
        <v>101</v>
      </c>
      <c r="C107" s="1">
        <v>1</v>
      </c>
      <c r="D107" s="2">
        <v>43515</v>
      </c>
      <c r="E107" s="2">
        <v>43517</v>
      </c>
      <c r="F107" s="4">
        <v>1102.3399999999999</v>
      </c>
      <c r="G107" s="4">
        <v>485.64</v>
      </c>
      <c r="H107" s="4">
        <v>616.70000000000005</v>
      </c>
      <c r="I107" s="1" t="s">
        <v>11</v>
      </c>
    </row>
    <row r="108" spans="1:9" x14ac:dyDescent="0.45">
      <c r="A108" s="1" t="s">
        <v>104</v>
      </c>
      <c r="B108" s="1" t="s">
        <v>105</v>
      </c>
      <c r="C108" s="1">
        <v>1</v>
      </c>
      <c r="D108" s="2">
        <v>43516</v>
      </c>
      <c r="E108" s="2">
        <v>43517</v>
      </c>
      <c r="F108" s="4">
        <v>1080.29</v>
      </c>
      <c r="G108" s="4">
        <v>505.64</v>
      </c>
      <c r="H108" s="4">
        <v>574.65</v>
      </c>
      <c r="I108" s="1" t="s">
        <v>11</v>
      </c>
    </row>
    <row r="109" spans="1:9" x14ac:dyDescent="0.45">
      <c r="A109" s="1" t="s">
        <v>148</v>
      </c>
      <c r="B109" s="1" t="s">
        <v>149</v>
      </c>
      <c r="C109" s="1">
        <v>3</v>
      </c>
      <c r="D109" s="2">
        <v>43487</v>
      </c>
      <c r="E109" s="2">
        <v>43517</v>
      </c>
      <c r="F109" s="4">
        <v>472.99</v>
      </c>
      <c r="G109" s="4">
        <v>226.01</v>
      </c>
      <c r="H109" s="4">
        <v>246.98</v>
      </c>
      <c r="I109" s="1" t="s">
        <v>11</v>
      </c>
    </row>
    <row r="110" spans="1:9" x14ac:dyDescent="0.45">
      <c r="A110" s="1" t="s">
        <v>146</v>
      </c>
      <c r="B110" s="1" t="s">
        <v>147</v>
      </c>
      <c r="C110" s="1">
        <v>300</v>
      </c>
      <c r="D110" s="2">
        <v>43504</v>
      </c>
      <c r="E110" s="2">
        <v>43516</v>
      </c>
      <c r="F110" s="4">
        <v>1916.55</v>
      </c>
      <c r="G110" s="4">
        <v>1766.96</v>
      </c>
      <c r="H110" s="4">
        <v>149.59</v>
      </c>
      <c r="I110" s="1" t="s">
        <v>11</v>
      </c>
    </row>
    <row r="111" spans="1:9" x14ac:dyDescent="0.45">
      <c r="A111" s="1" t="s">
        <v>214</v>
      </c>
      <c r="B111" s="1" t="s">
        <v>215</v>
      </c>
      <c r="C111" s="1">
        <v>1</v>
      </c>
      <c r="D111" s="2">
        <v>43494</v>
      </c>
      <c r="E111" s="2">
        <v>43516</v>
      </c>
      <c r="F111" s="4">
        <v>746.83</v>
      </c>
      <c r="G111" s="4">
        <v>480.68</v>
      </c>
      <c r="H111" s="4">
        <v>266.14999999999998</v>
      </c>
      <c r="I111" s="1" t="s">
        <v>11</v>
      </c>
    </row>
    <row r="112" spans="1:9" x14ac:dyDescent="0.45">
      <c r="A112" s="1" t="s">
        <v>214</v>
      </c>
      <c r="B112" s="1" t="s">
        <v>215</v>
      </c>
      <c r="C112" s="1">
        <v>1</v>
      </c>
      <c r="D112" s="2">
        <v>43501</v>
      </c>
      <c r="E112" s="2">
        <v>43516</v>
      </c>
      <c r="F112" s="4">
        <v>746.82</v>
      </c>
      <c r="G112" s="4">
        <v>565.64</v>
      </c>
      <c r="H112" s="4">
        <v>181.18</v>
      </c>
      <c r="I112" s="1" t="s">
        <v>11</v>
      </c>
    </row>
    <row r="113" spans="1:9" x14ac:dyDescent="0.45">
      <c r="A113" s="1" t="s">
        <v>98</v>
      </c>
      <c r="B113" s="1" t="s">
        <v>99</v>
      </c>
      <c r="C113" s="1">
        <v>1</v>
      </c>
      <c r="D113" s="2">
        <v>43509</v>
      </c>
      <c r="E113" s="2">
        <v>43515</v>
      </c>
      <c r="F113" s="4">
        <v>996.82</v>
      </c>
      <c r="G113" s="4">
        <v>417.64</v>
      </c>
      <c r="H113" s="4">
        <v>579.17999999999995</v>
      </c>
      <c r="I113" s="1" t="s">
        <v>11</v>
      </c>
    </row>
    <row r="114" spans="1:9" x14ac:dyDescent="0.45">
      <c r="A114" s="1" t="s">
        <v>170</v>
      </c>
      <c r="B114" s="1" t="s">
        <v>171</v>
      </c>
      <c r="C114" s="1">
        <v>1</v>
      </c>
      <c r="D114" s="2">
        <v>43515</v>
      </c>
      <c r="E114" s="2">
        <v>43515</v>
      </c>
      <c r="F114" s="4">
        <v>211.35</v>
      </c>
      <c r="G114" s="4">
        <v>84.99</v>
      </c>
      <c r="H114" s="4">
        <v>126.36</v>
      </c>
      <c r="I114" s="1" t="s">
        <v>11</v>
      </c>
    </row>
    <row r="115" spans="1:9" x14ac:dyDescent="0.45">
      <c r="A115" s="1" t="s">
        <v>20</v>
      </c>
      <c r="B115" s="1" t="s">
        <v>21</v>
      </c>
      <c r="C115" s="1">
        <v>5</v>
      </c>
      <c r="D115" s="2">
        <v>43482</v>
      </c>
      <c r="E115" s="2">
        <v>43511</v>
      </c>
      <c r="F115" s="4">
        <v>1254.08</v>
      </c>
      <c r="G115" s="4">
        <v>978.39</v>
      </c>
      <c r="H115" s="4">
        <v>275.69</v>
      </c>
      <c r="I115" s="1" t="s">
        <v>11</v>
      </c>
    </row>
    <row r="116" spans="1:9" x14ac:dyDescent="0.45">
      <c r="A116" s="1" t="s">
        <v>82</v>
      </c>
      <c r="B116" s="1" t="s">
        <v>83</v>
      </c>
      <c r="C116" s="1">
        <v>1</v>
      </c>
      <c r="D116" s="2">
        <v>43502</v>
      </c>
      <c r="E116" s="2">
        <v>43511</v>
      </c>
      <c r="F116" s="4">
        <v>2534.27</v>
      </c>
      <c r="G116" s="4">
        <v>2255.64</v>
      </c>
      <c r="H116" s="4">
        <v>278.63</v>
      </c>
      <c r="I116" s="1" t="s">
        <v>11</v>
      </c>
    </row>
    <row r="117" spans="1:9" x14ac:dyDescent="0.45">
      <c r="A117" s="1" t="s">
        <v>98</v>
      </c>
      <c r="B117" s="1" t="s">
        <v>99</v>
      </c>
      <c r="C117" s="1">
        <v>1</v>
      </c>
      <c r="D117" s="2">
        <v>43509</v>
      </c>
      <c r="E117" s="2">
        <v>43511</v>
      </c>
      <c r="F117" s="4">
        <v>996.82</v>
      </c>
      <c r="G117" s="4">
        <v>395.64</v>
      </c>
      <c r="H117" s="4">
        <v>601.17999999999995</v>
      </c>
      <c r="I117" s="1" t="s">
        <v>11</v>
      </c>
    </row>
    <row r="118" spans="1:9" x14ac:dyDescent="0.45">
      <c r="A118" s="1" t="s">
        <v>212</v>
      </c>
      <c r="B118" s="1" t="s">
        <v>213</v>
      </c>
      <c r="C118" s="1">
        <v>1</v>
      </c>
      <c r="D118" s="2">
        <v>43494</v>
      </c>
      <c r="E118" s="2">
        <v>43511</v>
      </c>
      <c r="F118" s="4">
        <v>749.36</v>
      </c>
      <c r="G118" s="4">
        <v>129.63999999999999</v>
      </c>
      <c r="H118" s="4">
        <v>619.72</v>
      </c>
      <c r="I118" s="1" t="s">
        <v>11</v>
      </c>
    </row>
    <row r="119" spans="1:9" x14ac:dyDescent="0.45">
      <c r="A119" s="1" t="s">
        <v>242</v>
      </c>
      <c r="B119" s="1" t="s">
        <v>243</v>
      </c>
      <c r="C119" s="1">
        <v>5</v>
      </c>
      <c r="D119" s="2">
        <v>43374</v>
      </c>
      <c r="E119" s="2">
        <v>43511</v>
      </c>
      <c r="F119" s="4">
        <v>0</v>
      </c>
      <c r="G119" s="4">
        <v>2003.42</v>
      </c>
      <c r="H119" s="4">
        <v>-2003.42</v>
      </c>
      <c r="I119" s="1" t="s">
        <v>11</v>
      </c>
    </row>
    <row r="120" spans="1:9" x14ac:dyDescent="0.45">
      <c r="A120" s="1" t="s">
        <v>242</v>
      </c>
      <c r="B120" s="1" t="s">
        <v>243</v>
      </c>
      <c r="C120" s="1">
        <v>15</v>
      </c>
      <c r="D120" s="2">
        <v>43483</v>
      </c>
      <c r="E120" s="2">
        <v>43511</v>
      </c>
      <c r="F120" s="4">
        <v>0</v>
      </c>
      <c r="G120" s="4">
        <v>690.21</v>
      </c>
      <c r="H120" s="4">
        <v>-690.21</v>
      </c>
      <c r="I120" s="1" t="s">
        <v>11</v>
      </c>
    </row>
    <row r="121" spans="1:9" x14ac:dyDescent="0.45">
      <c r="A121" s="1" t="s">
        <v>242</v>
      </c>
      <c r="B121" s="1" t="s">
        <v>243</v>
      </c>
      <c r="C121" s="1">
        <v>10</v>
      </c>
      <c r="D121" s="2">
        <v>43488</v>
      </c>
      <c r="E121" s="2">
        <v>43511</v>
      </c>
      <c r="F121" s="4">
        <v>0</v>
      </c>
      <c r="G121" s="4">
        <v>210.34</v>
      </c>
      <c r="H121" s="4">
        <v>-210.34</v>
      </c>
      <c r="I121" s="1" t="s">
        <v>11</v>
      </c>
    </row>
    <row r="122" spans="1:9" x14ac:dyDescent="0.45">
      <c r="A122" s="1" t="s">
        <v>30</v>
      </c>
      <c r="B122" s="1" t="s">
        <v>31</v>
      </c>
      <c r="C122" s="1">
        <v>1</v>
      </c>
      <c r="D122" s="2">
        <v>43461</v>
      </c>
      <c r="E122" s="2">
        <v>43507</v>
      </c>
      <c r="F122" s="4">
        <v>233.32</v>
      </c>
      <c r="G122" s="4">
        <v>49.68</v>
      </c>
      <c r="H122" s="4">
        <v>183.64</v>
      </c>
      <c r="I122" s="1" t="s">
        <v>11</v>
      </c>
    </row>
    <row r="123" spans="1:9" x14ac:dyDescent="0.45">
      <c r="A123" s="1" t="s">
        <v>30</v>
      </c>
      <c r="B123" s="1" t="s">
        <v>31</v>
      </c>
      <c r="C123" s="1">
        <v>4</v>
      </c>
      <c r="D123" s="2">
        <v>43482</v>
      </c>
      <c r="E123" s="2">
        <v>43507</v>
      </c>
      <c r="F123" s="4">
        <v>933.27</v>
      </c>
      <c r="G123" s="4">
        <v>207.69</v>
      </c>
      <c r="H123" s="4">
        <v>725.58</v>
      </c>
      <c r="I123" s="1" t="s">
        <v>11</v>
      </c>
    </row>
    <row r="124" spans="1:9" x14ac:dyDescent="0.45">
      <c r="A124" s="1" t="s">
        <v>18</v>
      </c>
      <c r="B124" s="1" t="s">
        <v>19</v>
      </c>
      <c r="C124" s="1">
        <v>10</v>
      </c>
      <c r="D124" s="2">
        <v>43482</v>
      </c>
      <c r="E124" s="2">
        <v>43502</v>
      </c>
      <c r="F124" s="4">
        <v>969.81</v>
      </c>
      <c r="G124" s="4">
        <v>616.84</v>
      </c>
      <c r="H124" s="4">
        <v>352.97</v>
      </c>
      <c r="I124" s="1" t="s">
        <v>11</v>
      </c>
    </row>
    <row r="125" spans="1:9" x14ac:dyDescent="0.45">
      <c r="A125" s="1" t="s">
        <v>18</v>
      </c>
      <c r="B125" s="1" t="s">
        <v>19</v>
      </c>
      <c r="C125" s="1">
        <v>5</v>
      </c>
      <c r="D125" s="2">
        <v>43494</v>
      </c>
      <c r="E125" s="2">
        <v>43502</v>
      </c>
      <c r="F125" s="4">
        <v>484.9</v>
      </c>
      <c r="G125" s="4">
        <v>223.37</v>
      </c>
      <c r="H125" s="4">
        <v>261.52999999999997</v>
      </c>
      <c r="I125" s="1" t="s">
        <v>11</v>
      </c>
    </row>
    <row r="126" spans="1:9" x14ac:dyDescent="0.45">
      <c r="A126" s="1" t="s">
        <v>166</v>
      </c>
      <c r="B126" s="1" t="s">
        <v>167</v>
      </c>
      <c r="C126" s="1">
        <v>300</v>
      </c>
      <c r="D126" s="2">
        <v>43497</v>
      </c>
      <c r="E126" s="2">
        <v>43502</v>
      </c>
      <c r="F126" s="4">
        <v>4183.68</v>
      </c>
      <c r="G126" s="4">
        <v>3816.98</v>
      </c>
      <c r="H126" s="4">
        <v>366.7</v>
      </c>
      <c r="I126" s="1" t="s">
        <v>11</v>
      </c>
    </row>
    <row r="127" spans="1:9" x14ac:dyDescent="0.45">
      <c r="A127" s="1" t="s">
        <v>196</v>
      </c>
      <c r="B127" s="1" t="s">
        <v>197</v>
      </c>
      <c r="C127" s="1">
        <v>100</v>
      </c>
      <c r="D127" s="2">
        <v>43378</v>
      </c>
      <c r="E127" s="2">
        <v>43502</v>
      </c>
      <c r="F127" s="4">
        <v>846.1</v>
      </c>
      <c r="G127" s="4">
        <v>991.59</v>
      </c>
      <c r="H127" s="4">
        <v>-145.49</v>
      </c>
      <c r="I127" s="1" t="s">
        <v>11</v>
      </c>
    </row>
    <row r="128" spans="1:9" x14ac:dyDescent="0.45">
      <c r="A128" s="1" t="s">
        <v>196</v>
      </c>
      <c r="B128" s="1" t="s">
        <v>197</v>
      </c>
      <c r="C128" s="1">
        <v>300</v>
      </c>
      <c r="D128" s="2">
        <v>43501</v>
      </c>
      <c r="E128" s="2">
        <v>43502</v>
      </c>
      <c r="F128" s="4">
        <v>2538.3000000000002</v>
      </c>
      <c r="G128" s="4">
        <v>2092.9499999999998</v>
      </c>
      <c r="H128" s="4">
        <v>445.35</v>
      </c>
      <c r="I128" s="1" t="s">
        <v>11</v>
      </c>
    </row>
    <row r="129" spans="1:9" x14ac:dyDescent="0.45">
      <c r="A129" s="1" t="s">
        <v>110</v>
      </c>
      <c r="B129" s="1" t="s">
        <v>111</v>
      </c>
      <c r="C129" s="1">
        <v>1</v>
      </c>
      <c r="D129" s="2">
        <v>43500</v>
      </c>
      <c r="E129" s="2">
        <v>43501</v>
      </c>
      <c r="F129" s="4">
        <v>236.3</v>
      </c>
      <c r="G129" s="4">
        <v>167.64</v>
      </c>
      <c r="H129" s="4">
        <v>68.66</v>
      </c>
      <c r="I129" s="1" t="s">
        <v>11</v>
      </c>
    </row>
    <row r="130" spans="1:9" x14ac:dyDescent="0.45">
      <c r="A130" s="1" t="s">
        <v>160</v>
      </c>
      <c r="B130" s="1" t="s">
        <v>161</v>
      </c>
      <c r="C130" s="1">
        <v>100</v>
      </c>
      <c r="D130" s="2">
        <v>43497</v>
      </c>
      <c r="E130" s="2">
        <v>43501</v>
      </c>
      <c r="F130" s="4">
        <v>4119.8</v>
      </c>
      <c r="G130" s="4">
        <v>4052.55</v>
      </c>
      <c r="H130" s="4">
        <v>67.25</v>
      </c>
      <c r="I130" s="1" t="s">
        <v>11</v>
      </c>
    </row>
    <row r="131" spans="1:9" x14ac:dyDescent="0.45">
      <c r="A131" s="1" t="s">
        <v>106</v>
      </c>
      <c r="B131" s="1" t="s">
        <v>107</v>
      </c>
      <c r="C131" s="1">
        <v>1</v>
      </c>
      <c r="D131" s="2">
        <v>43500</v>
      </c>
      <c r="E131" s="2">
        <v>43500</v>
      </c>
      <c r="F131" s="4">
        <v>202.3</v>
      </c>
      <c r="G131" s="4">
        <v>213.64</v>
      </c>
      <c r="H131" s="4">
        <v>-11.34</v>
      </c>
      <c r="I131" s="1" t="s">
        <v>11</v>
      </c>
    </row>
    <row r="132" spans="1:9" x14ac:dyDescent="0.45">
      <c r="A132" s="1" t="s">
        <v>12</v>
      </c>
      <c r="B132" s="1" t="s">
        <v>13</v>
      </c>
      <c r="C132" s="1">
        <v>2000</v>
      </c>
      <c r="D132" s="2">
        <v>43420</v>
      </c>
      <c r="E132" s="2">
        <v>43497</v>
      </c>
      <c r="F132" s="4">
        <v>14374.86</v>
      </c>
      <c r="G132" s="4">
        <v>14423.64</v>
      </c>
      <c r="H132" s="4">
        <v>-48.78</v>
      </c>
      <c r="I132" s="1" t="s">
        <v>11</v>
      </c>
    </row>
    <row r="133" spans="1:9" x14ac:dyDescent="0.45">
      <c r="A133" s="1" t="s">
        <v>210</v>
      </c>
      <c r="B133" s="1" t="s">
        <v>211</v>
      </c>
      <c r="C133" s="1">
        <v>2</v>
      </c>
      <c r="D133" s="2">
        <v>43490</v>
      </c>
      <c r="E133" s="2">
        <v>43497</v>
      </c>
      <c r="F133" s="4">
        <v>0</v>
      </c>
      <c r="G133" s="4">
        <v>286.32</v>
      </c>
      <c r="H133" s="4">
        <v>-286.32</v>
      </c>
      <c r="I133" s="1" t="s">
        <v>11</v>
      </c>
    </row>
    <row r="134" spans="1:9" x14ac:dyDescent="0.45">
      <c r="A134" s="1" t="s">
        <v>248</v>
      </c>
      <c r="B134" s="1" t="s">
        <v>249</v>
      </c>
      <c r="C134" s="1">
        <v>100</v>
      </c>
      <c r="D134" s="2">
        <v>43494</v>
      </c>
      <c r="E134" s="2">
        <v>43497</v>
      </c>
      <c r="F134" s="4">
        <v>10194.91</v>
      </c>
      <c r="G134" s="4">
        <v>10153.629999999999</v>
      </c>
      <c r="H134" s="4">
        <v>41.28</v>
      </c>
      <c r="I134" s="1" t="s">
        <v>11</v>
      </c>
    </row>
    <row r="135" spans="1:9" x14ac:dyDescent="0.45">
      <c r="A135" s="1" t="s">
        <v>208</v>
      </c>
      <c r="B135" s="1" t="s">
        <v>209</v>
      </c>
      <c r="C135" s="1">
        <v>2</v>
      </c>
      <c r="D135" s="2">
        <v>43490</v>
      </c>
      <c r="E135" s="2">
        <v>43494</v>
      </c>
      <c r="F135" s="4">
        <v>333.67</v>
      </c>
      <c r="G135" s="4">
        <v>27.02</v>
      </c>
      <c r="H135" s="4">
        <v>306.64999999999998</v>
      </c>
      <c r="I135" s="1" t="s">
        <v>11</v>
      </c>
    </row>
    <row r="136" spans="1:9" x14ac:dyDescent="0.45">
      <c r="A136" s="1" t="s">
        <v>20</v>
      </c>
      <c r="B136" s="1" t="s">
        <v>21</v>
      </c>
      <c r="C136" s="1">
        <v>5</v>
      </c>
      <c r="D136" s="2">
        <v>43482</v>
      </c>
      <c r="E136" s="2">
        <v>43493</v>
      </c>
      <c r="F136" s="4">
        <v>1254.0899999999999</v>
      </c>
      <c r="G136" s="4">
        <v>1093.3699999999999</v>
      </c>
      <c r="H136" s="4">
        <v>160.72</v>
      </c>
      <c r="I136" s="1" t="s">
        <v>11</v>
      </c>
    </row>
    <row r="137" spans="1:9" x14ac:dyDescent="0.45">
      <c r="A137" s="1" t="s">
        <v>202</v>
      </c>
      <c r="B137" s="1" t="s">
        <v>203</v>
      </c>
      <c r="C137" s="1">
        <v>200</v>
      </c>
      <c r="D137" s="2">
        <v>43413</v>
      </c>
      <c r="E137" s="2">
        <v>43493</v>
      </c>
      <c r="F137" s="4">
        <v>15158.41</v>
      </c>
      <c r="G137" s="4">
        <v>15171.31</v>
      </c>
      <c r="H137" s="4">
        <v>-12.9</v>
      </c>
      <c r="I137" s="1" t="s">
        <v>11</v>
      </c>
    </row>
    <row r="138" spans="1:9" x14ac:dyDescent="0.45">
      <c r="A138" s="1" t="s">
        <v>162</v>
      </c>
      <c r="B138" s="1" t="s">
        <v>163</v>
      </c>
      <c r="C138" s="1">
        <v>1</v>
      </c>
      <c r="D138" s="2">
        <v>43482</v>
      </c>
      <c r="E138" s="2">
        <v>43490</v>
      </c>
      <c r="F138" s="4">
        <v>0</v>
      </c>
      <c r="G138" s="4">
        <v>1461.63</v>
      </c>
      <c r="H138" s="4">
        <v>-1461.63</v>
      </c>
      <c r="I138" s="1" t="s">
        <v>11</v>
      </c>
    </row>
    <row r="139" spans="1:9" x14ac:dyDescent="0.45">
      <c r="A139" s="1" t="s">
        <v>168</v>
      </c>
      <c r="B139" s="1" t="s">
        <v>169</v>
      </c>
      <c r="C139" s="1">
        <v>5</v>
      </c>
      <c r="D139" s="2">
        <v>43487</v>
      </c>
      <c r="E139" s="2">
        <v>43490</v>
      </c>
      <c r="F139" s="4">
        <v>726.62</v>
      </c>
      <c r="G139" s="4">
        <v>398.42</v>
      </c>
      <c r="H139" s="4">
        <v>328.2</v>
      </c>
      <c r="I139" s="1" t="s">
        <v>11</v>
      </c>
    </row>
    <row r="140" spans="1:9" x14ac:dyDescent="0.45">
      <c r="A140" s="1" t="s">
        <v>16</v>
      </c>
      <c r="B140" s="1" t="s">
        <v>17</v>
      </c>
      <c r="C140" s="1">
        <v>10</v>
      </c>
      <c r="D140" s="2">
        <v>43482</v>
      </c>
      <c r="E140" s="2">
        <v>43487</v>
      </c>
      <c r="F140" s="4">
        <v>85.15</v>
      </c>
      <c r="G140" s="4">
        <v>10.34</v>
      </c>
      <c r="H140" s="4">
        <v>74.81</v>
      </c>
      <c r="I140" s="1" t="s">
        <v>11</v>
      </c>
    </row>
    <row r="141" spans="1:9" x14ac:dyDescent="0.45">
      <c r="A141" s="1" t="s">
        <v>58</v>
      </c>
      <c r="B141" s="1" t="s">
        <v>59</v>
      </c>
      <c r="C141" s="1">
        <v>3</v>
      </c>
      <c r="D141" s="2">
        <v>43389</v>
      </c>
      <c r="E141" s="2">
        <v>43487</v>
      </c>
      <c r="F141" s="4">
        <v>1004.45</v>
      </c>
      <c r="G141" s="4">
        <v>1112.05</v>
      </c>
      <c r="H141" s="4">
        <v>-107.6</v>
      </c>
      <c r="I141" s="1" t="s">
        <v>11</v>
      </c>
    </row>
    <row r="142" spans="1:9" x14ac:dyDescent="0.45">
      <c r="A142" s="1" t="s">
        <v>58</v>
      </c>
      <c r="B142" s="1" t="s">
        <v>59</v>
      </c>
      <c r="C142" s="1">
        <v>2</v>
      </c>
      <c r="D142" s="2">
        <v>43462</v>
      </c>
      <c r="E142" s="2">
        <v>43487</v>
      </c>
      <c r="F142" s="4">
        <v>669.63</v>
      </c>
      <c r="G142" s="4">
        <v>218.32</v>
      </c>
      <c r="H142" s="4">
        <v>451.31</v>
      </c>
      <c r="I142" s="1" t="s">
        <v>11</v>
      </c>
    </row>
    <row r="143" spans="1:9" x14ac:dyDescent="0.45">
      <c r="A143" s="1" t="s">
        <v>58</v>
      </c>
      <c r="B143" s="1" t="s">
        <v>59</v>
      </c>
      <c r="C143" s="1">
        <v>5</v>
      </c>
      <c r="D143" s="2">
        <v>43472</v>
      </c>
      <c r="E143" s="2">
        <v>43487</v>
      </c>
      <c r="F143" s="4">
        <v>1674.08</v>
      </c>
      <c r="G143" s="4">
        <v>933.42</v>
      </c>
      <c r="H143" s="4">
        <v>740.66</v>
      </c>
      <c r="I143" s="1" t="s">
        <v>11</v>
      </c>
    </row>
    <row r="144" spans="1:9" x14ac:dyDescent="0.45">
      <c r="A144" s="1" t="s">
        <v>60</v>
      </c>
      <c r="B144" s="1" t="s">
        <v>61</v>
      </c>
      <c r="C144" s="1">
        <v>10</v>
      </c>
      <c r="D144" s="2">
        <v>43472</v>
      </c>
      <c r="E144" s="2">
        <v>43487</v>
      </c>
      <c r="F144" s="4">
        <v>1298.19</v>
      </c>
      <c r="G144" s="4">
        <v>2616.84</v>
      </c>
      <c r="H144" s="4">
        <v>-1318.65</v>
      </c>
      <c r="I144" s="1" t="s">
        <v>11</v>
      </c>
    </row>
    <row r="145" spans="1:9" x14ac:dyDescent="0.45">
      <c r="A145" s="1" t="s">
        <v>206</v>
      </c>
      <c r="B145" s="1" t="s">
        <v>207</v>
      </c>
      <c r="C145" s="1">
        <v>1</v>
      </c>
      <c r="D145" s="2">
        <v>43480</v>
      </c>
      <c r="E145" s="2">
        <v>43487</v>
      </c>
      <c r="F145" s="4">
        <v>894.35</v>
      </c>
      <c r="G145" s="4">
        <v>508.63</v>
      </c>
      <c r="H145" s="4">
        <v>385.72</v>
      </c>
      <c r="I145" s="1" t="s">
        <v>11</v>
      </c>
    </row>
    <row r="146" spans="1:9" x14ac:dyDescent="0.45">
      <c r="A146" s="1" t="s">
        <v>238</v>
      </c>
      <c r="B146" s="1" t="s">
        <v>239</v>
      </c>
      <c r="C146" s="1">
        <v>2</v>
      </c>
      <c r="D146" s="2">
        <v>43473</v>
      </c>
      <c r="E146" s="2">
        <v>43487</v>
      </c>
      <c r="F146" s="4">
        <v>595.66999999999996</v>
      </c>
      <c r="G146" s="4">
        <v>561.37</v>
      </c>
      <c r="H146" s="4">
        <v>34.299999999999997</v>
      </c>
      <c r="I146" s="1" t="s">
        <v>11</v>
      </c>
    </row>
    <row r="147" spans="1:9" x14ac:dyDescent="0.45">
      <c r="A147" s="1" t="s">
        <v>240</v>
      </c>
      <c r="B147" s="1" t="s">
        <v>241</v>
      </c>
      <c r="C147" s="1">
        <v>2</v>
      </c>
      <c r="D147" s="2">
        <v>43473</v>
      </c>
      <c r="E147" s="2">
        <v>43487</v>
      </c>
      <c r="F147" s="4">
        <v>1353.66</v>
      </c>
      <c r="G147" s="4">
        <v>570.32000000000005</v>
      </c>
      <c r="H147" s="4">
        <v>783.34</v>
      </c>
      <c r="I147" s="1" t="s">
        <v>11</v>
      </c>
    </row>
    <row r="148" spans="1:9" x14ac:dyDescent="0.45">
      <c r="A148" s="1" t="s">
        <v>14</v>
      </c>
      <c r="B148" s="1" t="s">
        <v>15</v>
      </c>
      <c r="C148" s="1">
        <v>20</v>
      </c>
      <c r="D148" s="2">
        <v>43480</v>
      </c>
      <c r="E148" s="2">
        <v>43483</v>
      </c>
      <c r="F148" s="4">
        <v>189.3</v>
      </c>
      <c r="G148" s="4">
        <v>0</v>
      </c>
      <c r="H148" s="4">
        <v>189.3</v>
      </c>
      <c r="I148" s="1" t="s">
        <v>11</v>
      </c>
    </row>
    <row r="149" spans="1:9" x14ac:dyDescent="0.45">
      <c r="A149" s="1" t="s">
        <v>116</v>
      </c>
      <c r="B149" s="1" t="s">
        <v>117</v>
      </c>
      <c r="C149" s="1">
        <v>1</v>
      </c>
      <c r="D149" s="2">
        <v>43312</v>
      </c>
      <c r="E149" s="2">
        <v>43483</v>
      </c>
      <c r="F149" s="4">
        <v>0</v>
      </c>
      <c r="G149" s="4">
        <v>643.64</v>
      </c>
      <c r="H149" s="4">
        <v>-643.64</v>
      </c>
      <c r="I149" s="1" t="s">
        <v>11</v>
      </c>
    </row>
    <row r="150" spans="1:9" x14ac:dyDescent="0.45">
      <c r="A150" s="1" t="s">
        <v>116</v>
      </c>
      <c r="B150" s="1" t="s">
        <v>117</v>
      </c>
      <c r="C150" s="1">
        <v>1</v>
      </c>
      <c r="D150" s="2">
        <v>43318</v>
      </c>
      <c r="E150" s="2">
        <v>43483</v>
      </c>
      <c r="F150" s="4">
        <v>0</v>
      </c>
      <c r="G150" s="4">
        <v>465.63</v>
      </c>
      <c r="H150" s="4">
        <v>-465.63</v>
      </c>
      <c r="I150" s="1" t="s">
        <v>11</v>
      </c>
    </row>
    <row r="151" spans="1:9" x14ac:dyDescent="0.45">
      <c r="A151" s="1" t="s">
        <v>164</v>
      </c>
      <c r="B151" s="1" t="s">
        <v>165</v>
      </c>
      <c r="C151" s="1">
        <v>1</v>
      </c>
      <c r="D151" s="2">
        <v>43482</v>
      </c>
      <c r="E151" s="2">
        <v>43483</v>
      </c>
      <c r="F151" s="4">
        <v>505.31</v>
      </c>
      <c r="G151" s="4">
        <v>31.98</v>
      </c>
      <c r="H151" s="4">
        <v>473.33</v>
      </c>
      <c r="I151" s="1" t="s">
        <v>11</v>
      </c>
    </row>
    <row r="152" spans="1:9" x14ac:dyDescent="0.45">
      <c r="A152" s="1" t="s">
        <v>180</v>
      </c>
      <c r="B152" s="1" t="s">
        <v>181</v>
      </c>
      <c r="C152" s="1">
        <v>5</v>
      </c>
      <c r="D152" s="2">
        <v>43306</v>
      </c>
      <c r="E152" s="2">
        <v>43483</v>
      </c>
      <c r="F152" s="4">
        <v>0</v>
      </c>
      <c r="G152" s="4">
        <v>1156.6300000000001</v>
      </c>
      <c r="H152" s="4">
        <v>-1156.6300000000001</v>
      </c>
      <c r="I152" s="1" t="s">
        <v>11</v>
      </c>
    </row>
    <row r="153" spans="1:9" x14ac:dyDescent="0.45">
      <c r="A153" s="1" t="s">
        <v>180</v>
      </c>
      <c r="B153" s="1" t="s">
        <v>181</v>
      </c>
      <c r="C153" s="1">
        <v>5</v>
      </c>
      <c r="D153" s="2">
        <v>43307</v>
      </c>
      <c r="E153" s="2">
        <v>43483</v>
      </c>
      <c r="F153" s="4">
        <v>0</v>
      </c>
      <c r="G153" s="4">
        <v>1567.68</v>
      </c>
      <c r="H153" s="4">
        <v>-1567.68</v>
      </c>
      <c r="I153" s="1" t="s">
        <v>11</v>
      </c>
    </row>
    <row r="154" spans="1:9" x14ac:dyDescent="0.45">
      <c r="A154" s="1" t="s">
        <v>180</v>
      </c>
      <c r="B154" s="1" t="s">
        <v>181</v>
      </c>
      <c r="C154" s="1">
        <v>40</v>
      </c>
      <c r="D154" s="2">
        <v>43390</v>
      </c>
      <c r="E154" s="2">
        <v>43483</v>
      </c>
      <c r="F154" s="4">
        <v>0</v>
      </c>
      <c r="G154" s="4">
        <v>2107.37</v>
      </c>
      <c r="H154" s="4">
        <v>-2107.37</v>
      </c>
      <c r="I154" s="1" t="s">
        <v>11</v>
      </c>
    </row>
    <row r="155" spans="1:9" x14ac:dyDescent="0.45">
      <c r="A155" s="1" t="s">
        <v>180</v>
      </c>
      <c r="B155" s="1" t="s">
        <v>181</v>
      </c>
      <c r="C155" s="1">
        <v>10</v>
      </c>
      <c r="D155" s="2">
        <v>43446</v>
      </c>
      <c r="E155" s="2">
        <v>43483</v>
      </c>
      <c r="F155" s="4">
        <v>0</v>
      </c>
      <c r="G155" s="4">
        <v>351.79</v>
      </c>
      <c r="H155" s="4">
        <v>-351.79</v>
      </c>
      <c r="I155" s="1" t="s">
        <v>11</v>
      </c>
    </row>
    <row r="156" spans="1:9" x14ac:dyDescent="0.45">
      <c r="A156" s="1" t="s">
        <v>180</v>
      </c>
      <c r="B156" s="1" t="s">
        <v>181</v>
      </c>
      <c r="C156" s="1">
        <v>10</v>
      </c>
      <c r="D156" s="2">
        <v>43447</v>
      </c>
      <c r="E156" s="2">
        <v>43483</v>
      </c>
      <c r="F156" s="4">
        <v>0</v>
      </c>
      <c r="G156" s="4">
        <v>311.79000000000002</v>
      </c>
      <c r="H156" s="4">
        <v>-311.79000000000002</v>
      </c>
      <c r="I156" s="1" t="s">
        <v>11</v>
      </c>
    </row>
    <row r="157" spans="1:9" x14ac:dyDescent="0.45">
      <c r="A157" s="1" t="s">
        <v>180</v>
      </c>
      <c r="B157" s="1" t="s">
        <v>181</v>
      </c>
      <c r="C157" s="1">
        <v>10</v>
      </c>
      <c r="D157" s="2">
        <v>43469</v>
      </c>
      <c r="E157" s="2">
        <v>43483</v>
      </c>
      <c r="F157" s="4">
        <v>0</v>
      </c>
      <c r="G157" s="4">
        <v>35.29</v>
      </c>
      <c r="H157" s="4">
        <v>-35.29</v>
      </c>
      <c r="I157" s="1" t="s">
        <v>11</v>
      </c>
    </row>
    <row r="158" spans="1:9" x14ac:dyDescent="0.45">
      <c r="A158" s="1" t="s">
        <v>180</v>
      </c>
      <c r="B158" s="1" t="s">
        <v>181</v>
      </c>
      <c r="C158" s="1">
        <v>1</v>
      </c>
      <c r="D158" s="2">
        <v>43469</v>
      </c>
      <c r="E158" s="2">
        <v>43483</v>
      </c>
      <c r="F158" s="4">
        <v>0</v>
      </c>
      <c r="G158" s="4">
        <v>5.03</v>
      </c>
      <c r="H158" s="4">
        <v>-5.03</v>
      </c>
      <c r="I158" s="1" t="s">
        <v>11</v>
      </c>
    </row>
    <row r="159" spans="1:9" x14ac:dyDescent="0.45">
      <c r="A159" s="1" t="s">
        <v>180</v>
      </c>
      <c r="B159" s="1" t="s">
        <v>181</v>
      </c>
      <c r="C159" s="1">
        <v>46</v>
      </c>
      <c r="D159" s="2">
        <v>43469</v>
      </c>
      <c r="E159" s="2">
        <v>43483</v>
      </c>
      <c r="F159" s="4">
        <v>0</v>
      </c>
      <c r="G159" s="4">
        <v>239.88</v>
      </c>
      <c r="H159" s="4">
        <v>-239.88</v>
      </c>
      <c r="I159" s="1" t="s">
        <v>11</v>
      </c>
    </row>
    <row r="160" spans="1:9" x14ac:dyDescent="0.45">
      <c r="A160" s="1" t="s">
        <v>180</v>
      </c>
      <c r="B160" s="1" t="s">
        <v>181</v>
      </c>
      <c r="C160" s="1">
        <v>6</v>
      </c>
      <c r="D160" s="2">
        <v>43469</v>
      </c>
      <c r="E160" s="2">
        <v>43483</v>
      </c>
      <c r="F160" s="4">
        <v>0</v>
      </c>
      <c r="G160" s="4">
        <v>31.71</v>
      </c>
      <c r="H160" s="4">
        <v>-31.71</v>
      </c>
      <c r="I160" s="1" t="s">
        <v>11</v>
      </c>
    </row>
    <row r="161" spans="1:9" x14ac:dyDescent="0.45">
      <c r="A161" s="1" t="s">
        <v>180</v>
      </c>
      <c r="B161" s="1" t="s">
        <v>181</v>
      </c>
      <c r="C161" s="1">
        <v>14</v>
      </c>
      <c r="D161" s="2">
        <v>43469</v>
      </c>
      <c r="E161" s="2">
        <v>43483</v>
      </c>
      <c r="F161" s="4">
        <v>0</v>
      </c>
      <c r="G161" s="4">
        <v>73.98</v>
      </c>
      <c r="H161" s="4">
        <v>-73.98</v>
      </c>
      <c r="I161" s="1" t="s">
        <v>11</v>
      </c>
    </row>
    <row r="162" spans="1:9" x14ac:dyDescent="0.45">
      <c r="A162" s="1" t="s">
        <v>180</v>
      </c>
      <c r="B162" s="1" t="s">
        <v>181</v>
      </c>
      <c r="C162" s="1">
        <v>46</v>
      </c>
      <c r="D162" s="2">
        <v>43469</v>
      </c>
      <c r="E162" s="2">
        <v>43483</v>
      </c>
      <c r="F162" s="4">
        <v>0</v>
      </c>
      <c r="G162" s="4">
        <v>243.08</v>
      </c>
      <c r="H162" s="4">
        <v>-243.08</v>
      </c>
      <c r="I162" s="1" t="s">
        <v>11</v>
      </c>
    </row>
    <row r="163" spans="1:9" x14ac:dyDescent="0.45">
      <c r="A163" s="1" t="s">
        <v>180</v>
      </c>
      <c r="B163" s="1" t="s">
        <v>181</v>
      </c>
      <c r="C163" s="1">
        <v>7</v>
      </c>
      <c r="D163" s="2">
        <v>43469</v>
      </c>
      <c r="E163" s="2">
        <v>43483</v>
      </c>
      <c r="F163" s="4">
        <v>0</v>
      </c>
      <c r="G163" s="4">
        <v>36.99</v>
      </c>
      <c r="H163" s="4">
        <v>-36.99</v>
      </c>
      <c r="I163" s="1" t="s">
        <v>11</v>
      </c>
    </row>
    <row r="164" spans="1:9" x14ac:dyDescent="0.45">
      <c r="A164" s="1" t="s">
        <v>32</v>
      </c>
      <c r="B164" s="1" t="s">
        <v>33</v>
      </c>
      <c r="C164" s="1">
        <v>1</v>
      </c>
      <c r="D164" s="2">
        <v>43461</v>
      </c>
      <c r="E164" s="2">
        <v>43482</v>
      </c>
      <c r="F164" s="4">
        <v>194.36</v>
      </c>
      <c r="G164" s="4">
        <v>48.98</v>
      </c>
      <c r="H164" s="4">
        <v>145.38</v>
      </c>
      <c r="I164" s="1" t="s">
        <v>11</v>
      </c>
    </row>
    <row r="165" spans="1:9" x14ac:dyDescent="0.45">
      <c r="A165" s="1" t="s">
        <v>204</v>
      </c>
      <c r="B165" s="1" t="s">
        <v>205</v>
      </c>
      <c r="C165" s="1">
        <v>1</v>
      </c>
      <c r="D165" s="2">
        <v>43472</v>
      </c>
      <c r="E165" s="2">
        <v>43475</v>
      </c>
      <c r="F165" s="4">
        <v>324.36</v>
      </c>
      <c r="G165" s="4">
        <v>36.979999999999997</v>
      </c>
      <c r="H165" s="4">
        <v>287.38</v>
      </c>
      <c r="I165" s="1" t="s">
        <v>11</v>
      </c>
    </row>
    <row r="166" spans="1:9" x14ac:dyDescent="0.45">
      <c r="A166" s="1" t="s">
        <v>234</v>
      </c>
      <c r="B166" s="1" t="s">
        <v>235</v>
      </c>
      <c r="C166" s="1">
        <v>1</v>
      </c>
      <c r="D166" s="2">
        <v>43472</v>
      </c>
      <c r="E166" s="2">
        <v>43472</v>
      </c>
      <c r="F166" s="4">
        <v>329.31</v>
      </c>
      <c r="G166" s="4">
        <v>330.63</v>
      </c>
      <c r="H166" s="4">
        <v>-1.32</v>
      </c>
      <c r="I166" s="1" t="s">
        <v>11</v>
      </c>
    </row>
    <row r="167" spans="1:9" x14ac:dyDescent="0.45">
      <c r="A167" s="1" t="s">
        <v>236</v>
      </c>
      <c r="B167" s="1" t="s">
        <v>237</v>
      </c>
      <c r="C167" s="1">
        <v>1</v>
      </c>
      <c r="D167" s="2">
        <v>43472</v>
      </c>
      <c r="E167" s="2">
        <v>43472</v>
      </c>
      <c r="F167" s="4">
        <v>15.01</v>
      </c>
      <c r="G167" s="4">
        <v>37.979999999999997</v>
      </c>
      <c r="H167" s="4">
        <v>-22.97</v>
      </c>
      <c r="I167" s="1" t="s">
        <v>11</v>
      </c>
    </row>
    <row r="168" spans="1:9" x14ac:dyDescent="0.45">
      <c r="A168" s="1" t="s">
        <v>232</v>
      </c>
      <c r="B168" s="1" t="s">
        <v>233</v>
      </c>
      <c r="C168" s="1">
        <v>3</v>
      </c>
      <c r="D168" s="2">
        <v>43460</v>
      </c>
      <c r="E168" s="2">
        <v>43469</v>
      </c>
      <c r="F168" s="4">
        <v>367.99</v>
      </c>
      <c r="G168" s="4">
        <v>0</v>
      </c>
      <c r="H168" s="4">
        <v>367.99</v>
      </c>
      <c r="I168" s="1" t="s">
        <v>11</v>
      </c>
    </row>
    <row r="169" spans="1:9" x14ac:dyDescent="0.45">
      <c r="H169" s="4" t="e">
        <f>SUM(#REF!)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workbookViewId="0">
      <selection activeCell="B31" sqref="B31"/>
    </sheetView>
  </sheetViews>
  <sheetFormatPr defaultRowHeight="14.25" x14ac:dyDescent="0.45"/>
  <cols>
    <col min="1" max="1" width="34.6640625" style="1" customWidth="1"/>
    <col min="2" max="2" width="72.265625" style="1" customWidth="1"/>
    <col min="3" max="3" width="7.6640625" style="1" bestFit="1" customWidth="1"/>
    <col min="4" max="4" width="11.9296875" style="1" bestFit="1" customWidth="1"/>
    <col min="5" max="5" width="9.19921875" style="1" bestFit="1" customWidth="1"/>
    <col min="6" max="7" width="11.265625" style="1" bestFit="1" customWidth="1"/>
    <col min="8" max="8" width="17.6640625" style="1" bestFit="1" customWidth="1"/>
    <col min="9" max="9" width="0" style="1" hidden="1" customWidth="1"/>
    <col min="10" max="10" width="9.265625" style="1" bestFit="1" customWidth="1"/>
    <col min="11" max="16384" width="9.06640625" style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 t="s">
        <v>34</v>
      </c>
      <c r="B2" s="1" t="s">
        <v>35</v>
      </c>
      <c r="C2" s="1">
        <v>1</v>
      </c>
      <c r="D2" s="2">
        <v>43626</v>
      </c>
      <c r="E2" s="2">
        <v>43637</v>
      </c>
      <c r="F2" s="4">
        <v>0</v>
      </c>
      <c r="G2" s="4">
        <v>1217.6400000000001</v>
      </c>
      <c r="H2" s="4">
        <v>-1217.6400000000001</v>
      </c>
      <c r="I2" s="1" t="s">
        <v>11</v>
      </c>
    </row>
    <row r="3" spans="1:9" x14ac:dyDescent="0.45">
      <c r="A3" s="1" t="s">
        <v>38</v>
      </c>
      <c r="B3" s="1" t="s">
        <v>39</v>
      </c>
      <c r="C3" s="1">
        <v>1</v>
      </c>
      <c r="D3" s="2">
        <v>43626</v>
      </c>
      <c r="E3" s="2">
        <v>43637</v>
      </c>
      <c r="F3" s="4">
        <v>0</v>
      </c>
      <c r="G3" s="4">
        <v>2155.64</v>
      </c>
      <c r="H3" s="4">
        <v>-2155.64</v>
      </c>
      <c r="I3" s="1" t="s">
        <v>11</v>
      </c>
    </row>
    <row r="4" spans="1:9" x14ac:dyDescent="0.45">
      <c r="A4" s="1" t="s">
        <v>38</v>
      </c>
      <c r="B4" s="1" t="s">
        <v>39</v>
      </c>
      <c r="C4" s="1">
        <v>4</v>
      </c>
      <c r="D4" s="2">
        <v>43627</v>
      </c>
      <c r="E4" s="2">
        <v>43637</v>
      </c>
      <c r="F4" s="4">
        <v>0</v>
      </c>
      <c r="G4" s="4">
        <v>1111.71</v>
      </c>
      <c r="H4" s="4">
        <v>-1111.71</v>
      </c>
      <c r="I4" s="1" t="s">
        <v>11</v>
      </c>
    </row>
    <row r="5" spans="1:9" x14ac:dyDescent="0.45">
      <c r="A5" s="1" t="s">
        <v>38</v>
      </c>
      <c r="B5" s="1" t="s">
        <v>39</v>
      </c>
      <c r="C5" s="1">
        <v>1</v>
      </c>
      <c r="D5" s="2">
        <v>43630</v>
      </c>
      <c r="E5" s="2">
        <v>43637</v>
      </c>
      <c r="F5" s="4">
        <v>0</v>
      </c>
      <c r="G5" s="4">
        <v>281.64</v>
      </c>
      <c r="H5" s="4">
        <v>-281.64</v>
      </c>
      <c r="I5" s="1" t="s">
        <v>11</v>
      </c>
    </row>
    <row r="6" spans="1:9" x14ac:dyDescent="0.45">
      <c r="A6" s="1" t="s">
        <v>136</v>
      </c>
      <c r="B6" s="1" t="s">
        <v>137</v>
      </c>
      <c r="C6" s="1">
        <v>20</v>
      </c>
      <c r="D6" s="2">
        <v>43627</v>
      </c>
      <c r="E6" s="2">
        <v>43637</v>
      </c>
      <c r="F6" s="4">
        <v>0</v>
      </c>
      <c r="G6" s="4">
        <v>1018.73</v>
      </c>
      <c r="H6" s="4">
        <v>-1018.73</v>
      </c>
      <c r="I6" s="1" t="s">
        <v>11</v>
      </c>
    </row>
    <row r="7" spans="1:9" x14ac:dyDescent="0.45">
      <c r="A7" s="1" t="s">
        <v>260</v>
      </c>
      <c r="B7" s="1" t="s">
        <v>261</v>
      </c>
      <c r="C7" s="1">
        <v>10</v>
      </c>
      <c r="D7" s="2">
        <v>43572</v>
      </c>
      <c r="E7" s="2">
        <v>43637</v>
      </c>
      <c r="F7" s="4">
        <v>0</v>
      </c>
      <c r="G7" s="4">
        <v>1241.8399999999999</v>
      </c>
      <c r="H7" s="4">
        <v>-1241.8399999999999</v>
      </c>
      <c r="I7" s="1" t="s">
        <v>11</v>
      </c>
    </row>
    <row r="8" spans="1:9" x14ac:dyDescent="0.45">
      <c r="A8" s="1" t="s">
        <v>130</v>
      </c>
      <c r="B8" s="1" t="s">
        <v>131</v>
      </c>
      <c r="C8" s="1">
        <v>5</v>
      </c>
      <c r="D8" s="2">
        <v>43622</v>
      </c>
      <c r="E8" s="2">
        <v>43636</v>
      </c>
      <c r="F8" s="4">
        <v>541.59</v>
      </c>
      <c r="G8" s="4">
        <v>468.39</v>
      </c>
      <c r="H8" s="4">
        <v>73.2</v>
      </c>
      <c r="I8" s="1" t="s">
        <v>11</v>
      </c>
    </row>
    <row r="9" spans="1:9" x14ac:dyDescent="0.45">
      <c r="A9" s="1" t="s">
        <v>26</v>
      </c>
      <c r="B9" s="1" t="s">
        <v>27</v>
      </c>
      <c r="C9" s="1">
        <v>3</v>
      </c>
      <c r="D9" s="2">
        <v>43613</v>
      </c>
      <c r="E9" s="2">
        <v>43635</v>
      </c>
      <c r="F9" s="4">
        <v>1378.95</v>
      </c>
      <c r="G9" s="4">
        <v>824.07</v>
      </c>
      <c r="H9" s="4">
        <v>554.88</v>
      </c>
      <c r="I9" s="1" t="s">
        <v>11</v>
      </c>
    </row>
    <row r="10" spans="1:9" x14ac:dyDescent="0.45">
      <c r="A10" s="1" t="s">
        <v>40</v>
      </c>
      <c r="B10" s="1" t="s">
        <v>41</v>
      </c>
      <c r="C10" s="1">
        <v>2</v>
      </c>
      <c r="D10" s="2">
        <v>43630</v>
      </c>
      <c r="E10" s="2">
        <v>43635</v>
      </c>
      <c r="F10" s="4">
        <v>396.96</v>
      </c>
      <c r="G10" s="4">
        <v>316.33</v>
      </c>
      <c r="H10" s="4">
        <v>80.63</v>
      </c>
      <c r="I10" s="1" t="s">
        <v>11</v>
      </c>
    </row>
    <row r="11" spans="1:9" x14ac:dyDescent="0.45">
      <c r="A11" s="1" t="s">
        <v>40</v>
      </c>
      <c r="B11" s="1" t="s">
        <v>41</v>
      </c>
      <c r="C11" s="1">
        <v>4</v>
      </c>
      <c r="D11" s="2">
        <v>43630</v>
      </c>
      <c r="E11" s="2">
        <v>43635</v>
      </c>
      <c r="F11" s="4">
        <v>793.93</v>
      </c>
      <c r="G11" s="4">
        <v>606.71</v>
      </c>
      <c r="H11" s="4">
        <v>187.22</v>
      </c>
      <c r="I11" s="1" t="s">
        <v>11</v>
      </c>
    </row>
    <row r="12" spans="1:9" x14ac:dyDescent="0.45">
      <c r="A12" s="1" t="s">
        <v>40</v>
      </c>
      <c r="B12" s="1" t="s">
        <v>41</v>
      </c>
      <c r="C12" s="1">
        <v>1</v>
      </c>
      <c r="D12" s="2">
        <v>43630</v>
      </c>
      <c r="E12" s="2">
        <v>43635</v>
      </c>
      <c r="F12" s="4">
        <v>193.3</v>
      </c>
      <c r="G12" s="4">
        <v>151.68</v>
      </c>
      <c r="H12" s="4">
        <v>41.62</v>
      </c>
      <c r="I12" s="1" t="s">
        <v>11</v>
      </c>
    </row>
    <row r="13" spans="1:9" x14ac:dyDescent="0.45">
      <c r="A13" s="1" t="s">
        <v>192</v>
      </c>
      <c r="B13" s="1" t="s">
        <v>193</v>
      </c>
      <c r="C13" s="1">
        <v>2</v>
      </c>
      <c r="D13" s="2">
        <v>43633</v>
      </c>
      <c r="E13" s="2">
        <v>43635</v>
      </c>
      <c r="F13" s="4">
        <v>548.6</v>
      </c>
      <c r="G13" s="4">
        <v>504.33</v>
      </c>
      <c r="H13" s="4">
        <v>44.27</v>
      </c>
      <c r="I13" s="1" t="s">
        <v>11</v>
      </c>
    </row>
    <row r="14" spans="1:9" x14ac:dyDescent="0.45">
      <c r="A14" s="1" t="s">
        <v>28</v>
      </c>
      <c r="B14" s="1" t="s">
        <v>29</v>
      </c>
      <c r="C14" s="1">
        <v>3</v>
      </c>
      <c r="D14" s="2">
        <v>43613</v>
      </c>
      <c r="E14" s="2">
        <v>43630</v>
      </c>
      <c r="F14" s="4">
        <v>1225.95</v>
      </c>
      <c r="G14" s="4">
        <v>787.02</v>
      </c>
      <c r="H14" s="4">
        <v>438.93</v>
      </c>
      <c r="I14" s="1" t="s">
        <v>11</v>
      </c>
    </row>
    <row r="15" spans="1:9" x14ac:dyDescent="0.45">
      <c r="A15" s="1" t="s">
        <v>194</v>
      </c>
      <c r="B15" s="1" t="s">
        <v>195</v>
      </c>
      <c r="C15" s="1">
        <v>50</v>
      </c>
      <c r="D15" s="2">
        <v>43626</v>
      </c>
      <c r="E15" s="2">
        <v>43630</v>
      </c>
      <c r="F15" s="4">
        <v>2066.7600000000002</v>
      </c>
      <c r="G15" s="4">
        <v>2009.73</v>
      </c>
      <c r="H15" s="4">
        <v>57.03</v>
      </c>
      <c r="I15" s="1" t="s">
        <v>11</v>
      </c>
    </row>
    <row r="16" spans="1:9" x14ac:dyDescent="0.45">
      <c r="A16" s="1" t="s">
        <v>36</v>
      </c>
      <c r="B16" s="1" t="s">
        <v>37</v>
      </c>
      <c r="C16" s="1">
        <v>1</v>
      </c>
      <c r="D16" s="2">
        <v>43626</v>
      </c>
      <c r="E16" s="2">
        <v>43627</v>
      </c>
      <c r="F16" s="4">
        <v>752.29</v>
      </c>
      <c r="G16" s="4">
        <v>353.64</v>
      </c>
      <c r="H16" s="4">
        <v>398.65</v>
      </c>
      <c r="I16" s="1" t="s">
        <v>11</v>
      </c>
    </row>
    <row r="17" spans="1:9" x14ac:dyDescent="0.45">
      <c r="A17" s="1" t="s">
        <v>72</v>
      </c>
      <c r="B17" s="1" t="s">
        <v>73</v>
      </c>
      <c r="C17" s="1">
        <v>1</v>
      </c>
      <c r="D17" s="2">
        <v>43622</v>
      </c>
      <c r="E17" s="2">
        <v>43627</v>
      </c>
      <c r="F17" s="4">
        <v>484.34</v>
      </c>
      <c r="G17" s="4">
        <v>466.64</v>
      </c>
      <c r="H17" s="4">
        <v>17.7</v>
      </c>
      <c r="I17" s="1" t="s">
        <v>11</v>
      </c>
    </row>
    <row r="18" spans="1:9" x14ac:dyDescent="0.45">
      <c r="A18" s="1" t="s">
        <v>138</v>
      </c>
      <c r="B18" s="1" t="s">
        <v>139</v>
      </c>
      <c r="C18" s="1">
        <v>20</v>
      </c>
      <c r="D18" s="2">
        <v>43622</v>
      </c>
      <c r="E18" s="2">
        <v>43627</v>
      </c>
      <c r="F18" s="4">
        <v>1721.23</v>
      </c>
      <c r="G18" s="4">
        <v>598.73</v>
      </c>
      <c r="H18" s="4">
        <v>1122.5</v>
      </c>
      <c r="I18" s="1" t="s">
        <v>11</v>
      </c>
    </row>
    <row r="19" spans="1:9" x14ac:dyDescent="0.45">
      <c r="A19" s="1" t="s">
        <v>134</v>
      </c>
      <c r="B19" s="1" t="s">
        <v>135</v>
      </c>
      <c r="C19" s="1">
        <v>10</v>
      </c>
      <c r="D19" s="2">
        <v>43607</v>
      </c>
      <c r="E19" s="2">
        <v>43626</v>
      </c>
      <c r="F19" s="4">
        <v>851.44</v>
      </c>
      <c r="G19" s="4">
        <v>551.84</v>
      </c>
      <c r="H19" s="4">
        <v>299.60000000000002</v>
      </c>
      <c r="I19" s="1" t="s">
        <v>11</v>
      </c>
    </row>
    <row r="20" spans="1:9" x14ac:dyDescent="0.45">
      <c r="A20" s="1" t="s">
        <v>134</v>
      </c>
      <c r="B20" s="1" t="s">
        <v>135</v>
      </c>
      <c r="C20" s="1">
        <v>10</v>
      </c>
      <c r="D20" s="2">
        <v>43608</v>
      </c>
      <c r="E20" s="2">
        <v>43626</v>
      </c>
      <c r="F20" s="4">
        <v>851.44</v>
      </c>
      <c r="G20" s="4">
        <v>471.84</v>
      </c>
      <c r="H20" s="4">
        <v>379.6</v>
      </c>
      <c r="I20" s="1" t="s">
        <v>11</v>
      </c>
    </row>
    <row r="21" spans="1:9" x14ac:dyDescent="0.45">
      <c r="A21" s="1" t="s">
        <v>134</v>
      </c>
      <c r="B21" s="1" t="s">
        <v>135</v>
      </c>
      <c r="C21" s="1">
        <v>10</v>
      </c>
      <c r="D21" s="2">
        <v>43622</v>
      </c>
      <c r="E21" s="2">
        <v>43626</v>
      </c>
      <c r="F21" s="4">
        <v>851.45</v>
      </c>
      <c r="G21" s="4">
        <v>806.89</v>
      </c>
      <c r="H21" s="4">
        <v>44.56</v>
      </c>
      <c r="I21" s="1" t="s">
        <v>11</v>
      </c>
    </row>
    <row r="22" spans="1:9" x14ac:dyDescent="0.45">
      <c r="A22" s="1" t="s">
        <v>122</v>
      </c>
      <c r="B22" s="1" t="s">
        <v>123</v>
      </c>
      <c r="C22" s="1">
        <v>600</v>
      </c>
      <c r="D22" s="2">
        <v>43588</v>
      </c>
      <c r="E22" s="2">
        <v>43622</v>
      </c>
      <c r="F22" s="4">
        <v>5198.9799999999996</v>
      </c>
      <c r="G22" s="4">
        <v>4497.47</v>
      </c>
      <c r="H22" s="4">
        <v>701.51</v>
      </c>
      <c r="I22" s="1" t="s">
        <v>11</v>
      </c>
    </row>
    <row r="23" spans="1:9" x14ac:dyDescent="0.45">
      <c r="A23" s="1" t="s">
        <v>122</v>
      </c>
      <c r="B23" s="1" t="s">
        <v>123</v>
      </c>
      <c r="C23" s="1">
        <v>200</v>
      </c>
      <c r="D23" s="2">
        <v>43588</v>
      </c>
      <c r="E23" s="2">
        <v>43622</v>
      </c>
      <c r="F23" s="4">
        <v>1735</v>
      </c>
      <c r="G23" s="4">
        <v>1499.16</v>
      </c>
      <c r="H23" s="4">
        <v>235.84</v>
      </c>
      <c r="I23" s="1" t="s">
        <v>11</v>
      </c>
    </row>
    <row r="24" spans="1:9" x14ac:dyDescent="0.45">
      <c r="A24" s="1" t="s">
        <v>122</v>
      </c>
      <c r="B24" s="1" t="s">
        <v>123</v>
      </c>
      <c r="C24" s="1">
        <v>200</v>
      </c>
      <c r="D24" s="2">
        <v>43588</v>
      </c>
      <c r="E24" s="2">
        <v>43622</v>
      </c>
      <c r="F24" s="4">
        <v>1733.96</v>
      </c>
      <c r="G24" s="4">
        <v>1499.15</v>
      </c>
      <c r="H24" s="4">
        <v>234.81</v>
      </c>
      <c r="I24" s="1" t="s">
        <v>11</v>
      </c>
    </row>
    <row r="25" spans="1:9" x14ac:dyDescent="0.45">
      <c r="A25" s="1" t="s">
        <v>128</v>
      </c>
      <c r="B25" s="1" t="s">
        <v>129</v>
      </c>
      <c r="C25" s="1">
        <v>7</v>
      </c>
      <c r="D25" s="2">
        <v>43619</v>
      </c>
      <c r="E25" s="2">
        <v>43622</v>
      </c>
      <c r="F25" s="4">
        <v>128.32</v>
      </c>
      <c r="G25" s="4">
        <v>101.74</v>
      </c>
      <c r="H25" s="4">
        <v>26.58</v>
      </c>
      <c r="I25" s="1" t="s">
        <v>11</v>
      </c>
    </row>
    <row r="26" spans="1:9" x14ac:dyDescent="0.45">
      <c r="A26" s="1" t="s">
        <v>128</v>
      </c>
      <c r="B26" s="1" t="s">
        <v>129</v>
      </c>
      <c r="C26" s="1">
        <v>3</v>
      </c>
      <c r="D26" s="2">
        <v>43619</v>
      </c>
      <c r="E26" s="2">
        <v>43622</v>
      </c>
      <c r="F26" s="4">
        <v>48.92</v>
      </c>
      <c r="G26" s="4">
        <v>43.6</v>
      </c>
      <c r="H26" s="4">
        <v>5.32</v>
      </c>
      <c r="I26" s="1" t="s">
        <v>11</v>
      </c>
    </row>
    <row r="27" spans="1:9" x14ac:dyDescent="0.45">
      <c r="A27" s="1" t="s">
        <v>74</v>
      </c>
      <c r="B27" s="1" t="s">
        <v>75</v>
      </c>
      <c r="C27" s="1">
        <v>5</v>
      </c>
      <c r="D27" s="2">
        <v>43571</v>
      </c>
      <c r="E27" s="2">
        <v>43616</v>
      </c>
      <c r="F27" s="4">
        <v>0</v>
      </c>
      <c r="G27" s="4">
        <v>743.39</v>
      </c>
      <c r="H27" s="4">
        <v>-743.39</v>
      </c>
      <c r="I27" s="1" t="s">
        <v>11</v>
      </c>
    </row>
    <row r="28" spans="1:9" x14ac:dyDescent="0.45">
      <c r="A28" s="1" t="s">
        <v>74</v>
      </c>
      <c r="B28" s="1" t="s">
        <v>75</v>
      </c>
      <c r="C28" s="1">
        <v>5</v>
      </c>
      <c r="D28" s="2">
        <v>43586</v>
      </c>
      <c r="E28" s="2">
        <v>43616</v>
      </c>
      <c r="F28" s="4">
        <v>0</v>
      </c>
      <c r="G28" s="4">
        <v>558.39</v>
      </c>
      <c r="H28" s="4">
        <v>-558.39</v>
      </c>
      <c r="I28" s="1" t="s">
        <v>11</v>
      </c>
    </row>
    <row r="29" spans="1:9" x14ac:dyDescent="0.45">
      <c r="A29" s="1" t="s">
        <v>120</v>
      </c>
      <c r="B29" s="1" t="s">
        <v>121</v>
      </c>
      <c r="C29" s="1">
        <v>5</v>
      </c>
      <c r="D29" s="2">
        <v>43580</v>
      </c>
      <c r="E29" s="2">
        <v>43609</v>
      </c>
      <c r="F29" s="4">
        <v>0</v>
      </c>
      <c r="G29" s="4">
        <v>633.39</v>
      </c>
      <c r="H29" s="4">
        <v>-633.39</v>
      </c>
      <c r="I29" s="1" t="s">
        <v>11</v>
      </c>
    </row>
    <row r="30" spans="1:9" x14ac:dyDescent="0.45">
      <c r="A30" s="1" t="s">
        <v>120</v>
      </c>
      <c r="B30" s="1" t="s">
        <v>121</v>
      </c>
      <c r="C30" s="1">
        <v>15</v>
      </c>
      <c r="D30" s="2">
        <v>43584</v>
      </c>
      <c r="E30" s="2">
        <v>43609</v>
      </c>
      <c r="F30" s="4">
        <v>0</v>
      </c>
      <c r="G30" s="4">
        <v>390.28</v>
      </c>
      <c r="H30" s="4">
        <v>-390.28</v>
      </c>
      <c r="I30" s="1" t="s">
        <v>11</v>
      </c>
    </row>
    <row r="31" spans="1:9" x14ac:dyDescent="0.45">
      <c r="A31" s="1" t="s">
        <v>120</v>
      </c>
      <c r="B31" s="1" t="s">
        <v>121</v>
      </c>
      <c r="C31" s="1">
        <v>10</v>
      </c>
      <c r="D31" s="2">
        <v>43593</v>
      </c>
      <c r="E31" s="2">
        <v>43609</v>
      </c>
      <c r="F31" s="4">
        <v>0</v>
      </c>
      <c r="G31" s="4">
        <v>281.83999999999997</v>
      </c>
      <c r="H31" s="4">
        <v>-281.83999999999997</v>
      </c>
      <c r="I31" s="1" t="s">
        <v>11</v>
      </c>
    </row>
    <row r="32" spans="1:9" x14ac:dyDescent="0.45">
      <c r="A32" s="1" t="s">
        <v>126</v>
      </c>
      <c r="B32" s="1" t="s">
        <v>127</v>
      </c>
      <c r="C32" s="1">
        <v>5</v>
      </c>
      <c r="D32" s="2">
        <v>43577</v>
      </c>
      <c r="E32" s="2">
        <v>43609</v>
      </c>
      <c r="F32" s="4">
        <v>0</v>
      </c>
      <c r="G32" s="4">
        <v>258.39</v>
      </c>
      <c r="H32" s="4">
        <v>-258.39</v>
      </c>
      <c r="I32" s="1" t="s">
        <v>11</v>
      </c>
    </row>
    <row r="33" spans="1:9" x14ac:dyDescent="0.45">
      <c r="A33" s="1" t="s">
        <v>126</v>
      </c>
      <c r="B33" s="1" t="s">
        <v>127</v>
      </c>
      <c r="C33" s="1">
        <v>5</v>
      </c>
      <c r="D33" s="2">
        <v>43577</v>
      </c>
      <c r="E33" s="2">
        <v>43609</v>
      </c>
      <c r="F33" s="4">
        <v>0</v>
      </c>
      <c r="G33" s="4">
        <v>228.39</v>
      </c>
      <c r="H33" s="4">
        <v>-228.39</v>
      </c>
      <c r="I33" s="1" t="s">
        <v>11</v>
      </c>
    </row>
    <row r="34" spans="1:9" x14ac:dyDescent="0.45">
      <c r="A34" s="1" t="s">
        <v>126</v>
      </c>
      <c r="B34" s="1" t="s">
        <v>127</v>
      </c>
      <c r="C34" s="1">
        <v>5</v>
      </c>
      <c r="D34" s="2">
        <v>43579</v>
      </c>
      <c r="E34" s="2">
        <v>43609</v>
      </c>
      <c r="F34" s="4">
        <v>0</v>
      </c>
      <c r="G34" s="4">
        <v>208.39</v>
      </c>
      <c r="H34" s="4">
        <v>-208.39</v>
      </c>
      <c r="I34" s="1" t="s">
        <v>11</v>
      </c>
    </row>
    <row r="35" spans="1:9" x14ac:dyDescent="0.45">
      <c r="A35" s="1" t="s">
        <v>176</v>
      </c>
      <c r="B35" s="1" t="s">
        <v>177</v>
      </c>
      <c r="C35" s="1">
        <v>5</v>
      </c>
      <c r="D35" s="2">
        <v>43586</v>
      </c>
      <c r="E35" s="2">
        <v>43609</v>
      </c>
      <c r="F35" s="4">
        <v>2666.55</v>
      </c>
      <c r="G35" s="4">
        <v>1978.39</v>
      </c>
      <c r="H35" s="4">
        <v>688.16</v>
      </c>
      <c r="I35" s="1" t="s">
        <v>11</v>
      </c>
    </row>
    <row r="36" spans="1:9" x14ac:dyDescent="0.45">
      <c r="A36" s="1" t="s">
        <v>158</v>
      </c>
      <c r="B36" s="1" t="s">
        <v>159</v>
      </c>
      <c r="C36" s="1">
        <v>5</v>
      </c>
      <c r="D36" s="2">
        <v>43594</v>
      </c>
      <c r="E36" s="2">
        <v>43608</v>
      </c>
      <c r="F36" s="4">
        <v>591.59</v>
      </c>
      <c r="G36" s="4">
        <v>483.39</v>
      </c>
      <c r="H36" s="4">
        <v>108.2</v>
      </c>
      <c r="I36" s="1" t="s">
        <v>11</v>
      </c>
    </row>
    <row r="37" spans="1:9" x14ac:dyDescent="0.45">
      <c r="A37" s="1" t="s">
        <v>124</v>
      </c>
      <c r="B37" s="1" t="s">
        <v>125</v>
      </c>
      <c r="C37" s="1">
        <v>1</v>
      </c>
      <c r="D37" s="2">
        <v>43573</v>
      </c>
      <c r="E37" s="2">
        <v>43602</v>
      </c>
      <c r="F37" s="4">
        <v>0</v>
      </c>
      <c r="G37" s="4">
        <v>84.99</v>
      </c>
      <c r="H37" s="4">
        <v>-84.99</v>
      </c>
      <c r="I37" s="1" t="s">
        <v>11</v>
      </c>
    </row>
    <row r="38" spans="1:9" x14ac:dyDescent="0.45">
      <c r="A38" s="1" t="s">
        <v>124</v>
      </c>
      <c r="B38" s="1" t="s">
        <v>125</v>
      </c>
      <c r="C38" s="1">
        <v>4</v>
      </c>
      <c r="D38" s="2">
        <v>43573</v>
      </c>
      <c r="E38" s="2">
        <v>43602</v>
      </c>
      <c r="F38" s="4">
        <v>0</v>
      </c>
      <c r="G38" s="4">
        <v>327.41000000000003</v>
      </c>
      <c r="H38" s="4">
        <v>-327.41000000000003</v>
      </c>
      <c r="I38" s="1" t="s">
        <v>11</v>
      </c>
    </row>
    <row r="39" spans="1:9" x14ac:dyDescent="0.45">
      <c r="A39" s="1" t="s">
        <v>124</v>
      </c>
      <c r="B39" s="1" t="s">
        <v>125</v>
      </c>
      <c r="C39" s="1">
        <v>5</v>
      </c>
      <c r="D39" s="2">
        <v>43577</v>
      </c>
      <c r="E39" s="2">
        <v>43602</v>
      </c>
      <c r="F39" s="4">
        <v>0</v>
      </c>
      <c r="G39" s="4">
        <v>243.39</v>
      </c>
      <c r="H39" s="4">
        <v>-243.39</v>
      </c>
      <c r="I39" s="1" t="s">
        <v>11</v>
      </c>
    </row>
    <row r="40" spans="1:9" x14ac:dyDescent="0.45">
      <c r="A40" s="1" t="s">
        <v>124</v>
      </c>
      <c r="B40" s="1" t="s">
        <v>125</v>
      </c>
      <c r="C40" s="1">
        <v>2</v>
      </c>
      <c r="D40" s="2">
        <v>43598</v>
      </c>
      <c r="E40" s="2">
        <v>43602</v>
      </c>
      <c r="F40" s="4">
        <v>0</v>
      </c>
      <c r="G40" s="4">
        <v>27.03</v>
      </c>
      <c r="H40" s="4">
        <v>-27.03</v>
      </c>
      <c r="I40" s="1" t="s">
        <v>11</v>
      </c>
    </row>
    <row r="41" spans="1:9" x14ac:dyDescent="0.45">
      <c r="A41" s="1" t="s">
        <v>124</v>
      </c>
      <c r="B41" s="1" t="s">
        <v>125</v>
      </c>
      <c r="C41" s="1">
        <v>8</v>
      </c>
      <c r="D41" s="2">
        <v>43598</v>
      </c>
      <c r="E41" s="2">
        <v>43602</v>
      </c>
      <c r="F41" s="4">
        <v>0</v>
      </c>
      <c r="G41" s="4">
        <v>88.86</v>
      </c>
      <c r="H41" s="4">
        <v>-88.86</v>
      </c>
      <c r="I41" s="1" t="s">
        <v>11</v>
      </c>
    </row>
    <row r="42" spans="1:9" x14ac:dyDescent="0.45">
      <c r="A42" s="1" t="s">
        <v>174</v>
      </c>
      <c r="B42" s="1" t="s">
        <v>175</v>
      </c>
      <c r="C42" s="1">
        <v>5</v>
      </c>
      <c r="D42" s="2">
        <v>43515</v>
      </c>
      <c r="E42" s="2">
        <v>43602</v>
      </c>
      <c r="F42" s="4">
        <v>0</v>
      </c>
      <c r="G42" s="4">
        <v>783.39</v>
      </c>
      <c r="H42" s="4">
        <v>-783.39</v>
      </c>
      <c r="I42" s="1" t="s">
        <v>11</v>
      </c>
    </row>
    <row r="43" spans="1:9" x14ac:dyDescent="0.45">
      <c r="A43" s="1" t="s">
        <v>174</v>
      </c>
      <c r="B43" s="1" t="s">
        <v>175</v>
      </c>
      <c r="C43" s="1">
        <v>3</v>
      </c>
      <c r="D43" s="2">
        <v>43592</v>
      </c>
      <c r="E43" s="2">
        <v>43602</v>
      </c>
      <c r="F43" s="4">
        <v>0</v>
      </c>
      <c r="G43" s="4">
        <v>367.02</v>
      </c>
      <c r="H43" s="4">
        <v>-367.02</v>
      </c>
      <c r="I43" s="1" t="s">
        <v>11</v>
      </c>
    </row>
    <row r="44" spans="1:9" x14ac:dyDescent="0.45">
      <c r="A44" s="1" t="s">
        <v>182</v>
      </c>
      <c r="B44" s="1" t="s">
        <v>183</v>
      </c>
      <c r="C44" s="1">
        <v>5</v>
      </c>
      <c r="D44" s="2">
        <v>43592</v>
      </c>
      <c r="E44" s="2">
        <v>43602</v>
      </c>
      <c r="F44" s="4">
        <v>0</v>
      </c>
      <c r="G44" s="4">
        <v>988.39</v>
      </c>
      <c r="H44" s="4">
        <v>-988.39</v>
      </c>
      <c r="I44" s="1" t="s">
        <v>11</v>
      </c>
    </row>
    <row r="45" spans="1:9" x14ac:dyDescent="0.45">
      <c r="A45" s="1" t="s">
        <v>184</v>
      </c>
      <c r="B45" s="1" t="s">
        <v>185</v>
      </c>
      <c r="C45" s="1">
        <v>2</v>
      </c>
      <c r="D45" s="2">
        <v>43586</v>
      </c>
      <c r="E45" s="2">
        <v>43602</v>
      </c>
      <c r="F45" s="4">
        <v>0</v>
      </c>
      <c r="G45" s="4">
        <v>342.33</v>
      </c>
      <c r="H45" s="4">
        <v>-342.33</v>
      </c>
      <c r="I45" s="1" t="s">
        <v>11</v>
      </c>
    </row>
    <row r="46" spans="1:9" x14ac:dyDescent="0.45">
      <c r="A46" s="1" t="s">
        <v>184</v>
      </c>
      <c r="B46" s="1" t="s">
        <v>185</v>
      </c>
      <c r="C46" s="1">
        <v>3</v>
      </c>
      <c r="D46" s="2">
        <v>43587</v>
      </c>
      <c r="E46" s="2">
        <v>43602</v>
      </c>
      <c r="F46" s="4">
        <v>0</v>
      </c>
      <c r="G46" s="4">
        <v>400.02</v>
      </c>
      <c r="H46" s="4">
        <v>-400.02</v>
      </c>
      <c r="I46" s="1" t="s">
        <v>11</v>
      </c>
    </row>
    <row r="47" spans="1:9" x14ac:dyDescent="0.45">
      <c r="A47" s="1" t="s">
        <v>184</v>
      </c>
      <c r="B47" s="1" t="s">
        <v>185</v>
      </c>
      <c r="C47" s="1">
        <v>5</v>
      </c>
      <c r="D47" s="2">
        <v>43593</v>
      </c>
      <c r="E47" s="2">
        <v>43602</v>
      </c>
      <c r="F47" s="4">
        <v>0</v>
      </c>
      <c r="G47" s="4">
        <v>120.94</v>
      </c>
      <c r="H47" s="4">
        <v>-120.94</v>
      </c>
      <c r="I47" s="1" t="s">
        <v>11</v>
      </c>
    </row>
    <row r="48" spans="1:9" x14ac:dyDescent="0.45">
      <c r="A48" s="1" t="s">
        <v>216</v>
      </c>
      <c r="B48" s="1" t="s">
        <v>217</v>
      </c>
      <c r="C48" s="1">
        <v>5</v>
      </c>
      <c r="D48" s="2">
        <v>43586</v>
      </c>
      <c r="E48" s="2">
        <v>43602</v>
      </c>
      <c r="F48" s="4">
        <v>0</v>
      </c>
      <c r="G48" s="4">
        <v>1583.39</v>
      </c>
      <c r="H48" s="4">
        <v>-1583.39</v>
      </c>
      <c r="I48" s="1" t="s">
        <v>11</v>
      </c>
    </row>
    <row r="49" spans="1:9" x14ac:dyDescent="0.45">
      <c r="A49" s="1" t="s">
        <v>216</v>
      </c>
      <c r="B49" s="1" t="s">
        <v>217</v>
      </c>
      <c r="C49" s="1">
        <v>10</v>
      </c>
      <c r="D49" s="2">
        <v>43591</v>
      </c>
      <c r="E49" s="2">
        <v>43602</v>
      </c>
      <c r="F49" s="4">
        <v>0</v>
      </c>
      <c r="G49" s="4">
        <v>511.84</v>
      </c>
      <c r="H49" s="4">
        <v>-511.84</v>
      </c>
      <c r="I49" s="1" t="s">
        <v>11</v>
      </c>
    </row>
    <row r="50" spans="1:9" x14ac:dyDescent="0.45">
      <c r="A50" s="1" t="s">
        <v>258</v>
      </c>
      <c r="B50" s="1" t="s">
        <v>259</v>
      </c>
      <c r="C50" s="1">
        <v>10</v>
      </c>
      <c r="D50" s="2">
        <v>43542</v>
      </c>
      <c r="E50" s="2">
        <v>43602</v>
      </c>
      <c r="F50" s="4">
        <v>0</v>
      </c>
      <c r="G50" s="4">
        <v>771.82</v>
      </c>
      <c r="H50" s="4">
        <v>-771.82</v>
      </c>
      <c r="I50" s="1" t="s">
        <v>11</v>
      </c>
    </row>
    <row r="51" spans="1:9" x14ac:dyDescent="0.45">
      <c r="A51" s="1" t="s">
        <v>258</v>
      </c>
      <c r="B51" s="1" t="s">
        <v>259</v>
      </c>
      <c r="C51" s="1">
        <v>10</v>
      </c>
      <c r="D51" s="2">
        <v>43586</v>
      </c>
      <c r="E51" s="2">
        <v>43602</v>
      </c>
      <c r="F51" s="4">
        <v>0</v>
      </c>
      <c r="G51" s="4">
        <v>261.83999999999997</v>
      </c>
      <c r="H51" s="4">
        <v>-261.83999999999997</v>
      </c>
      <c r="I51" s="1" t="s">
        <v>11</v>
      </c>
    </row>
    <row r="52" spans="1:9" x14ac:dyDescent="0.45">
      <c r="A52" s="1" t="s">
        <v>258</v>
      </c>
      <c r="B52" s="1" t="s">
        <v>259</v>
      </c>
      <c r="C52" s="1">
        <v>20</v>
      </c>
      <c r="D52" s="2">
        <v>43592</v>
      </c>
      <c r="E52" s="2">
        <v>43602</v>
      </c>
      <c r="F52" s="4">
        <v>0</v>
      </c>
      <c r="G52" s="4">
        <v>85.73</v>
      </c>
      <c r="H52" s="4">
        <v>-85.73</v>
      </c>
      <c r="I52" s="1" t="s">
        <v>11</v>
      </c>
    </row>
    <row r="53" spans="1:9" x14ac:dyDescent="0.45">
      <c r="A53" s="1" t="s">
        <v>114</v>
      </c>
      <c r="B53" s="1" t="s">
        <v>115</v>
      </c>
      <c r="C53" s="1">
        <v>1</v>
      </c>
      <c r="D53" s="2">
        <v>43578</v>
      </c>
      <c r="E53" s="2">
        <v>43593</v>
      </c>
      <c r="F53" s="4">
        <v>1184.6300000000001</v>
      </c>
      <c r="G53" s="4">
        <v>1155.69</v>
      </c>
      <c r="H53" s="4">
        <v>28.94</v>
      </c>
      <c r="I53" s="1" t="s">
        <v>11</v>
      </c>
    </row>
    <row r="54" spans="1:9" x14ac:dyDescent="0.45">
      <c r="A54" s="1" t="s">
        <v>114</v>
      </c>
      <c r="B54" s="1" t="s">
        <v>115</v>
      </c>
      <c r="C54" s="1">
        <v>2</v>
      </c>
      <c r="D54" s="2">
        <v>43587</v>
      </c>
      <c r="E54" s="2">
        <v>43593</v>
      </c>
      <c r="F54" s="4">
        <v>2369.27</v>
      </c>
      <c r="G54" s="4">
        <v>1606.33</v>
      </c>
      <c r="H54" s="4">
        <v>762.94</v>
      </c>
      <c r="I54" s="1" t="s">
        <v>11</v>
      </c>
    </row>
    <row r="55" spans="1:9" x14ac:dyDescent="0.45">
      <c r="A55" s="1" t="s">
        <v>252</v>
      </c>
      <c r="B55" s="1" t="s">
        <v>253</v>
      </c>
      <c r="C55" s="1">
        <v>1</v>
      </c>
      <c r="D55" s="2">
        <v>43523</v>
      </c>
      <c r="E55" s="2">
        <v>43592</v>
      </c>
      <c r="F55" s="4">
        <v>536.82000000000005</v>
      </c>
      <c r="G55" s="4">
        <v>455.64</v>
      </c>
      <c r="H55" s="4">
        <v>81.180000000000007</v>
      </c>
      <c r="I55" s="1" t="s">
        <v>11</v>
      </c>
    </row>
    <row r="56" spans="1:9" x14ac:dyDescent="0.45">
      <c r="A56" s="1" t="s">
        <v>252</v>
      </c>
      <c r="B56" s="1" t="s">
        <v>253</v>
      </c>
      <c r="C56" s="1">
        <v>1</v>
      </c>
      <c r="D56" s="2">
        <v>43586</v>
      </c>
      <c r="E56" s="2">
        <v>43592</v>
      </c>
      <c r="F56" s="4">
        <v>536.82000000000005</v>
      </c>
      <c r="G56" s="4">
        <v>385.64</v>
      </c>
      <c r="H56" s="4">
        <v>151.18</v>
      </c>
      <c r="I56" s="1" t="s">
        <v>11</v>
      </c>
    </row>
    <row r="57" spans="1:9" x14ac:dyDescent="0.45">
      <c r="A57" s="1" t="s">
        <v>186</v>
      </c>
      <c r="B57" s="1" t="s">
        <v>187</v>
      </c>
      <c r="C57" s="1">
        <v>5</v>
      </c>
      <c r="D57" s="2">
        <v>43570</v>
      </c>
      <c r="E57" s="2">
        <v>43591</v>
      </c>
      <c r="F57" s="4">
        <v>1741.57</v>
      </c>
      <c r="G57" s="4">
        <v>1498.39</v>
      </c>
      <c r="H57" s="4">
        <v>243.18</v>
      </c>
      <c r="I57" s="1" t="s">
        <v>11</v>
      </c>
    </row>
    <row r="58" spans="1:9" x14ac:dyDescent="0.45">
      <c r="A58" s="1" t="s">
        <v>188</v>
      </c>
      <c r="B58" s="1" t="s">
        <v>189</v>
      </c>
      <c r="C58" s="1">
        <v>5</v>
      </c>
      <c r="D58" s="2">
        <v>43570</v>
      </c>
      <c r="E58" s="2">
        <v>43587</v>
      </c>
      <c r="F58" s="4">
        <v>386.55</v>
      </c>
      <c r="G58" s="4">
        <v>363.39</v>
      </c>
      <c r="H58" s="4">
        <v>23.16</v>
      </c>
      <c r="I58" s="1" t="s">
        <v>11</v>
      </c>
    </row>
    <row r="59" spans="1:9" x14ac:dyDescent="0.45">
      <c r="A59" s="1" t="s">
        <v>218</v>
      </c>
      <c r="B59" s="1" t="s">
        <v>219</v>
      </c>
      <c r="C59" s="1">
        <v>5</v>
      </c>
      <c r="D59" s="2">
        <v>43586</v>
      </c>
      <c r="E59" s="2">
        <v>43587</v>
      </c>
      <c r="F59" s="4">
        <v>186.55</v>
      </c>
      <c r="G59" s="4">
        <v>30.19</v>
      </c>
      <c r="H59" s="4">
        <v>156.36000000000001</v>
      </c>
      <c r="I59" s="1" t="s">
        <v>11</v>
      </c>
    </row>
    <row r="60" spans="1:9" x14ac:dyDescent="0.45">
      <c r="A60" s="1" t="s">
        <v>256</v>
      </c>
      <c r="B60" s="1" t="s">
        <v>257</v>
      </c>
      <c r="C60" s="1">
        <v>10</v>
      </c>
      <c r="D60" s="2">
        <v>43537</v>
      </c>
      <c r="E60" s="2">
        <v>43587</v>
      </c>
      <c r="F60" s="4">
        <v>911.44</v>
      </c>
      <c r="G60" s="4">
        <v>426.87</v>
      </c>
      <c r="H60" s="4">
        <v>484.57</v>
      </c>
      <c r="I60" s="1" t="s">
        <v>11</v>
      </c>
    </row>
    <row r="61" spans="1:9" x14ac:dyDescent="0.45">
      <c r="A61" s="1" t="s">
        <v>256</v>
      </c>
      <c r="B61" s="1" t="s">
        <v>257</v>
      </c>
      <c r="C61" s="1">
        <v>10</v>
      </c>
      <c r="D61" s="2">
        <v>43567</v>
      </c>
      <c r="E61" s="2">
        <v>43587</v>
      </c>
      <c r="F61" s="4">
        <v>911.44</v>
      </c>
      <c r="G61" s="4">
        <v>681.84</v>
      </c>
      <c r="H61" s="4">
        <v>229.6</v>
      </c>
      <c r="I61" s="1" t="s">
        <v>11</v>
      </c>
    </row>
    <row r="62" spans="1:9" x14ac:dyDescent="0.45">
      <c r="A62" s="1" t="s">
        <v>256</v>
      </c>
      <c r="B62" s="1" t="s">
        <v>257</v>
      </c>
      <c r="C62" s="1">
        <v>10</v>
      </c>
      <c r="D62" s="2">
        <v>43570</v>
      </c>
      <c r="E62" s="2">
        <v>43587</v>
      </c>
      <c r="F62" s="4">
        <v>911.45</v>
      </c>
      <c r="G62" s="4">
        <v>551.84</v>
      </c>
      <c r="H62" s="4">
        <v>359.61</v>
      </c>
      <c r="I62" s="1" t="s">
        <v>11</v>
      </c>
    </row>
    <row r="63" spans="1:9" x14ac:dyDescent="0.45">
      <c r="A63" s="1" t="s">
        <v>76</v>
      </c>
      <c r="B63" s="1" t="s">
        <v>77</v>
      </c>
      <c r="C63" s="1">
        <v>5</v>
      </c>
      <c r="D63" s="2">
        <v>43571</v>
      </c>
      <c r="E63" s="2">
        <v>43586</v>
      </c>
      <c r="F63" s="4">
        <v>231.55</v>
      </c>
      <c r="G63" s="4">
        <v>95.14</v>
      </c>
      <c r="H63" s="4">
        <v>136.41</v>
      </c>
      <c r="I63" s="1" t="s">
        <v>11</v>
      </c>
    </row>
    <row r="64" spans="1:9" x14ac:dyDescent="0.45">
      <c r="A64" s="1" t="s">
        <v>90</v>
      </c>
      <c r="B64" s="1" t="s">
        <v>91</v>
      </c>
      <c r="C64" s="1">
        <v>2</v>
      </c>
      <c r="D64" s="2">
        <v>43543</v>
      </c>
      <c r="E64" s="2">
        <v>43586</v>
      </c>
      <c r="F64" s="4">
        <v>2443.61</v>
      </c>
      <c r="G64" s="4">
        <v>1368.32</v>
      </c>
      <c r="H64" s="4">
        <v>1075.29</v>
      </c>
      <c r="I64" s="1" t="s">
        <v>11</v>
      </c>
    </row>
    <row r="65" spans="1:9" x14ac:dyDescent="0.45">
      <c r="A65" s="1" t="s">
        <v>244</v>
      </c>
      <c r="B65" s="1" t="s">
        <v>245</v>
      </c>
      <c r="C65" s="1">
        <v>3</v>
      </c>
      <c r="D65" s="2">
        <v>43572</v>
      </c>
      <c r="E65" s="2">
        <v>43586</v>
      </c>
      <c r="F65" s="4">
        <v>3703.9</v>
      </c>
      <c r="G65" s="4">
        <v>2077.02</v>
      </c>
      <c r="H65" s="4">
        <v>1626.88</v>
      </c>
      <c r="I65" s="1" t="s">
        <v>11</v>
      </c>
    </row>
    <row r="66" spans="1:9" x14ac:dyDescent="0.45">
      <c r="A66" s="1" t="s">
        <v>86</v>
      </c>
      <c r="B66" s="1" t="s">
        <v>87</v>
      </c>
      <c r="C66" s="1">
        <v>2</v>
      </c>
      <c r="D66" s="2">
        <v>43579</v>
      </c>
      <c r="E66" s="2">
        <v>43581</v>
      </c>
      <c r="F66" s="4">
        <v>0</v>
      </c>
      <c r="G66" s="4">
        <v>896.33</v>
      </c>
      <c r="H66" s="4">
        <v>-896.33</v>
      </c>
      <c r="I66" s="1" t="s">
        <v>11</v>
      </c>
    </row>
    <row r="67" spans="1:9" x14ac:dyDescent="0.45">
      <c r="A67" s="1" t="s">
        <v>118</v>
      </c>
      <c r="B67" s="1" t="s">
        <v>119</v>
      </c>
      <c r="C67" s="1">
        <v>3</v>
      </c>
      <c r="D67" s="2">
        <v>43580</v>
      </c>
      <c r="E67" s="2">
        <v>43581</v>
      </c>
      <c r="F67" s="4">
        <v>0</v>
      </c>
      <c r="G67" s="4">
        <v>110.37</v>
      </c>
      <c r="H67" s="4">
        <v>-110.37</v>
      </c>
      <c r="I67" s="1" t="s">
        <v>11</v>
      </c>
    </row>
    <row r="68" spans="1:9" x14ac:dyDescent="0.45">
      <c r="A68" s="1" t="s">
        <v>112</v>
      </c>
      <c r="B68" s="1" t="s">
        <v>113</v>
      </c>
      <c r="C68" s="1">
        <v>1</v>
      </c>
      <c r="D68" s="2">
        <v>43572</v>
      </c>
      <c r="E68" s="2">
        <v>43578</v>
      </c>
      <c r="F68" s="4">
        <v>1549.32</v>
      </c>
      <c r="G68" s="4">
        <v>1005.64</v>
      </c>
      <c r="H68" s="4">
        <v>543.67999999999995</v>
      </c>
      <c r="I68" s="1" t="s">
        <v>11</v>
      </c>
    </row>
    <row r="69" spans="1:9" x14ac:dyDescent="0.45">
      <c r="A69" s="1" t="s">
        <v>70</v>
      </c>
      <c r="B69" s="1" t="s">
        <v>71</v>
      </c>
      <c r="C69" s="1">
        <v>5</v>
      </c>
      <c r="D69" s="2">
        <v>43537</v>
      </c>
      <c r="E69" s="2">
        <v>43577</v>
      </c>
      <c r="F69" s="4">
        <v>2591.5500000000002</v>
      </c>
      <c r="G69" s="4">
        <v>1368.39</v>
      </c>
      <c r="H69" s="4">
        <v>1223.1600000000001</v>
      </c>
      <c r="I69" s="1" t="s">
        <v>11</v>
      </c>
    </row>
    <row r="70" spans="1:9" x14ac:dyDescent="0.45">
      <c r="A70" s="1" t="s">
        <v>152</v>
      </c>
      <c r="B70" s="1" t="s">
        <v>153</v>
      </c>
      <c r="C70" s="1">
        <v>5</v>
      </c>
      <c r="D70" s="2">
        <v>43515</v>
      </c>
      <c r="E70" s="2">
        <v>43573</v>
      </c>
      <c r="F70" s="4">
        <v>0</v>
      </c>
      <c r="G70" s="4">
        <v>608.44000000000005</v>
      </c>
      <c r="H70" s="4">
        <v>-608.44000000000005</v>
      </c>
      <c r="I70" s="1" t="s">
        <v>11</v>
      </c>
    </row>
    <row r="71" spans="1:9" x14ac:dyDescent="0.45">
      <c r="A71" s="1" t="s">
        <v>152</v>
      </c>
      <c r="B71" s="1" t="s">
        <v>153</v>
      </c>
      <c r="C71" s="1">
        <v>5</v>
      </c>
      <c r="D71" s="2">
        <v>43536</v>
      </c>
      <c r="E71" s="2">
        <v>43573</v>
      </c>
      <c r="F71" s="4">
        <v>0</v>
      </c>
      <c r="G71" s="4">
        <v>233.44</v>
      </c>
      <c r="H71" s="4">
        <v>-233.44</v>
      </c>
      <c r="I71" s="1" t="s">
        <v>11</v>
      </c>
    </row>
    <row r="72" spans="1:9" x14ac:dyDescent="0.45">
      <c r="A72" s="1" t="s">
        <v>66</v>
      </c>
      <c r="B72" s="1" t="s">
        <v>67</v>
      </c>
      <c r="C72" s="1">
        <v>500</v>
      </c>
      <c r="D72" s="2">
        <v>43567</v>
      </c>
      <c r="E72" s="2">
        <v>43572</v>
      </c>
      <c r="F72" s="4">
        <v>9924.84</v>
      </c>
      <c r="G72" s="4">
        <v>8573.41</v>
      </c>
      <c r="H72" s="4">
        <v>1351.43</v>
      </c>
      <c r="I72" s="1" t="s">
        <v>11</v>
      </c>
    </row>
    <row r="73" spans="1:9" x14ac:dyDescent="0.45">
      <c r="A73" s="1" t="s">
        <v>140</v>
      </c>
      <c r="B73" s="1" t="s">
        <v>141</v>
      </c>
      <c r="C73" s="1">
        <v>100</v>
      </c>
      <c r="D73" s="2">
        <v>43508</v>
      </c>
      <c r="E73" s="2">
        <v>43570</v>
      </c>
      <c r="F73" s="4">
        <v>3804.39</v>
      </c>
      <c r="G73" s="4">
        <v>3924.28</v>
      </c>
      <c r="H73" s="4">
        <v>-119.89</v>
      </c>
      <c r="I73" s="1" t="s">
        <v>11</v>
      </c>
    </row>
    <row r="74" spans="1:9" x14ac:dyDescent="0.45">
      <c r="A74" s="1" t="s">
        <v>62</v>
      </c>
      <c r="B74" s="1" t="s">
        <v>63</v>
      </c>
      <c r="C74" s="1">
        <v>2</v>
      </c>
      <c r="D74" s="2">
        <v>43543</v>
      </c>
      <c r="E74" s="2">
        <v>43567</v>
      </c>
      <c r="F74" s="4">
        <v>3249.62</v>
      </c>
      <c r="G74" s="4">
        <v>610.32000000000005</v>
      </c>
      <c r="H74" s="4">
        <v>2639.3</v>
      </c>
      <c r="I74" s="1" t="s">
        <v>11</v>
      </c>
    </row>
    <row r="75" spans="1:9" x14ac:dyDescent="0.45">
      <c r="A75" s="1" t="s">
        <v>64</v>
      </c>
      <c r="B75" s="1" t="s">
        <v>65</v>
      </c>
      <c r="C75" s="1">
        <v>2</v>
      </c>
      <c r="D75" s="2">
        <v>43543</v>
      </c>
      <c r="E75" s="2">
        <v>43567</v>
      </c>
      <c r="F75" s="4">
        <v>262.62</v>
      </c>
      <c r="G75" s="4">
        <v>2471.38</v>
      </c>
      <c r="H75" s="4">
        <v>-2208.7600000000002</v>
      </c>
      <c r="I75" s="1" t="s">
        <v>11</v>
      </c>
    </row>
    <row r="76" spans="1:9" x14ac:dyDescent="0.45">
      <c r="A76" s="1" t="s">
        <v>156</v>
      </c>
      <c r="B76" s="1" t="s">
        <v>157</v>
      </c>
      <c r="C76" s="1">
        <v>5</v>
      </c>
      <c r="D76" s="2">
        <v>43515</v>
      </c>
      <c r="E76" s="2">
        <v>43567</v>
      </c>
      <c r="F76" s="4">
        <v>766.59</v>
      </c>
      <c r="G76" s="4">
        <v>770.92</v>
      </c>
      <c r="H76" s="4">
        <v>-4.33</v>
      </c>
      <c r="I76" s="1" t="s">
        <v>11</v>
      </c>
    </row>
    <row r="77" spans="1:9" x14ac:dyDescent="0.45">
      <c r="A77" s="1" t="s">
        <v>156</v>
      </c>
      <c r="B77" s="1" t="s">
        <v>157</v>
      </c>
      <c r="C77" s="1">
        <v>5</v>
      </c>
      <c r="D77" s="2">
        <v>43536</v>
      </c>
      <c r="E77" s="2">
        <v>43567</v>
      </c>
      <c r="F77" s="4">
        <v>911.59</v>
      </c>
      <c r="G77" s="4">
        <v>770.92</v>
      </c>
      <c r="H77" s="4">
        <v>140.66999999999999</v>
      </c>
      <c r="I77" s="1" t="s">
        <v>11</v>
      </c>
    </row>
    <row r="78" spans="1:9" x14ac:dyDescent="0.45">
      <c r="A78" s="1" t="s">
        <v>144</v>
      </c>
      <c r="B78" s="1" t="s">
        <v>145</v>
      </c>
      <c r="C78" s="1">
        <v>2</v>
      </c>
      <c r="D78" s="2">
        <v>43539</v>
      </c>
      <c r="E78" s="2">
        <v>43565</v>
      </c>
      <c r="F78" s="4">
        <v>273.66000000000003</v>
      </c>
      <c r="G78" s="4">
        <v>126.07</v>
      </c>
      <c r="H78" s="4">
        <v>147.59</v>
      </c>
      <c r="I78" s="1" t="s">
        <v>11</v>
      </c>
    </row>
    <row r="79" spans="1:9" x14ac:dyDescent="0.45">
      <c r="A79" s="1" t="s">
        <v>154</v>
      </c>
      <c r="B79" s="1" t="s">
        <v>155</v>
      </c>
      <c r="C79" s="1">
        <v>5</v>
      </c>
      <c r="D79" s="2">
        <v>43515</v>
      </c>
      <c r="E79" s="2">
        <v>43564</v>
      </c>
      <c r="F79" s="4">
        <v>126.55</v>
      </c>
      <c r="G79" s="4">
        <v>10.19</v>
      </c>
      <c r="H79" s="4">
        <v>116.36</v>
      </c>
      <c r="I79" s="1" t="s">
        <v>11</v>
      </c>
    </row>
    <row r="80" spans="1:9" x14ac:dyDescent="0.45">
      <c r="A80" s="1" t="s">
        <v>198</v>
      </c>
      <c r="B80" s="1" t="s">
        <v>199</v>
      </c>
      <c r="C80" s="1">
        <v>5</v>
      </c>
      <c r="D80" s="2">
        <v>43538</v>
      </c>
      <c r="E80" s="2">
        <v>43563</v>
      </c>
      <c r="F80" s="4">
        <v>421.6</v>
      </c>
      <c r="G80" s="4">
        <v>268.39</v>
      </c>
      <c r="H80" s="4">
        <v>153.21</v>
      </c>
      <c r="I80" s="1" t="s">
        <v>11</v>
      </c>
    </row>
    <row r="81" spans="1:9" x14ac:dyDescent="0.45">
      <c r="A81" s="1" t="s">
        <v>92</v>
      </c>
      <c r="B81" s="1" t="s">
        <v>93</v>
      </c>
      <c r="C81" s="1">
        <v>2</v>
      </c>
      <c r="D81" s="2">
        <v>43543</v>
      </c>
      <c r="E81" s="2">
        <v>43549</v>
      </c>
      <c r="F81" s="4">
        <v>170.62</v>
      </c>
      <c r="G81" s="4">
        <v>186.32</v>
      </c>
      <c r="H81" s="4">
        <v>-15.7</v>
      </c>
      <c r="I81" s="1" t="s">
        <v>11</v>
      </c>
    </row>
    <row r="82" spans="1:9" x14ac:dyDescent="0.45">
      <c r="A82" s="1" t="s">
        <v>56</v>
      </c>
      <c r="B82" s="1" t="s">
        <v>57</v>
      </c>
      <c r="C82" s="1">
        <v>1</v>
      </c>
      <c r="D82" s="2">
        <v>43528</v>
      </c>
      <c r="E82" s="2">
        <v>43545</v>
      </c>
      <c r="F82" s="4">
        <v>1074.3399999999999</v>
      </c>
      <c r="G82" s="4">
        <v>878.64</v>
      </c>
      <c r="H82" s="4">
        <v>195.7</v>
      </c>
      <c r="I82" s="1" t="s">
        <v>11</v>
      </c>
    </row>
    <row r="83" spans="1:9" x14ac:dyDescent="0.45">
      <c r="A83" s="1" t="s">
        <v>250</v>
      </c>
      <c r="B83" s="1" t="s">
        <v>251</v>
      </c>
      <c r="C83" s="1">
        <v>100</v>
      </c>
      <c r="D83" s="2">
        <v>43543</v>
      </c>
      <c r="E83" s="2">
        <v>43545</v>
      </c>
      <c r="F83" s="4">
        <v>1957.02</v>
      </c>
      <c r="G83" s="4">
        <v>1950.6</v>
      </c>
      <c r="H83" s="4">
        <v>6.42</v>
      </c>
      <c r="I83" s="1" t="s">
        <v>11</v>
      </c>
    </row>
    <row r="84" spans="1:9" x14ac:dyDescent="0.45">
      <c r="A84" s="1" t="s">
        <v>254</v>
      </c>
      <c r="B84" s="1" t="s">
        <v>255</v>
      </c>
      <c r="C84" s="1">
        <v>6</v>
      </c>
      <c r="D84" s="2">
        <v>43537</v>
      </c>
      <c r="E84" s="2">
        <v>43542</v>
      </c>
      <c r="F84" s="4">
        <v>386.92</v>
      </c>
      <c r="G84" s="4">
        <v>178.47</v>
      </c>
      <c r="H84" s="4">
        <v>208.45</v>
      </c>
      <c r="I84" s="1" t="s">
        <v>11</v>
      </c>
    </row>
    <row r="85" spans="1:9" x14ac:dyDescent="0.45">
      <c r="A85" s="1" t="s">
        <v>254</v>
      </c>
      <c r="B85" s="1" t="s">
        <v>255</v>
      </c>
      <c r="C85" s="1">
        <v>1</v>
      </c>
      <c r="D85" s="2">
        <v>43537</v>
      </c>
      <c r="E85" s="2">
        <v>43542</v>
      </c>
      <c r="F85" s="4">
        <v>64.3</v>
      </c>
      <c r="G85" s="4">
        <v>29.74</v>
      </c>
      <c r="H85" s="4">
        <v>34.56</v>
      </c>
      <c r="I85" s="1" t="s">
        <v>11</v>
      </c>
    </row>
    <row r="86" spans="1:9" x14ac:dyDescent="0.45">
      <c r="A86" s="1" t="s">
        <v>94</v>
      </c>
      <c r="B86" s="1" t="s">
        <v>95</v>
      </c>
      <c r="C86" s="1">
        <v>10</v>
      </c>
      <c r="D86" s="2">
        <v>43339</v>
      </c>
      <c r="E86" s="2">
        <v>43539</v>
      </c>
      <c r="F86" s="4">
        <v>0</v>
      </c>
      <c r="G86" s="4">
        <v>1536.84</v>
      </c>
      <c r="H86" s="4">
        <v>-1536.84</v>
      </c>
      <c r="I86" s="1" t="s">
        <v>11</v>
      </c>
    </row>
    <row r="87" spans="1:9" x14ac:dyDescent="0.45">
      <c r="A87" s="1" t="s">
        <v>150</v>
      </c>
      <c r="B87" s="1" t="s">
        <v>151</v>
      </c>
      <c r="C87" s="1">
        <v>4</v>
      </c>
      <c r="D87" s="2">
        <v>43375</v>
      </c>
      <c r="E87" s="2">
        <v>43539</v>
      </c>
      <c r="F87" s="4">
        <v>0</v>
      </c>
      <c r="G87" s="4">
        <v>735.69</v>
      </c>
      <c r="H87" s="4">
        <v>-735.69</v>
      </c>
      <c r="I87" s="1" t="s">
        <v>11</v>
      </c>
    </row>
    <row r="88" spans="1:9" x14ac:dyDescent="0.45">
      <c r="A88" s="1" t="s">
        <v>150</v>
      </c>
      <c r="B88" s="1" t="s">
        <v>151</v>
      </c>
      <c r="C88" s="1">
        <v>6</v>
      </c>
      <c r="D88" s="2">
        <v>43446</v>
      </c>
      <c r="E88" s="2">
        <v>43539</v>
      </c>
      <c r="F88" s="4">
        <v>0</v>
      </c>
      <c r="G88" s="4">
        <v>157.71</v>
      </c>
      <c r="H88" s="4">
        <v>-157.71</v>
      </c>
      <c r="I88" s="1" t="s">
        <v>11</v>
      </c>
    </row>
    <row r="89" spans="1:9" x14ac:dyDescent="0.45">
      <c r="A89" s="1" t="s">
        <v>150</v>
      </c>
      <c r="B89" s="1" t="s">
        <v>151</v>
      </c>
      <c r="C89" s="1">
        <v>20</v>
      </c>
      <c r="D89" s="2">
        <v>43474</v>
      </c>
      <c r="E89" s="2">
        <v>43539</v>
      </c>
      <c r="F89" s="4">
        <v>0</v>
      </c>
      <c r="G89" s="4">
        <v>105.69</v>
      </c>
      <c r="H89" s="4">
        <v>-105.69</v>
      </c>
      <c r="I89" s="1" t="s">
        <v>11</v>
      </c>
    </row>
    <row r="90" spans="1:9" x14ac:dyDescent="0.45">
      <c r="A90" s="1" t="s">
        <v>150</v>
      </c>
      <c r="B90" s="1" t="s">
        <v>151</v>
      </c>
      <c r="C90" s="1">
        <v>70</v>
      </c>
      <c r="D90" s="2">
        <v>43502</v>
      </c>
      <c r="E90" s="2">
        <v>43539</v>
      </c>
      <c r="F90" s="4">
        <v>0</v>
      </c>
      <c r="G90" s="4">
        <v>149.66999999999999</v>
      </c>
      <c r="H90" s="4">
        <v>-149.66999999999999</v>
      </c>
      <c r="I90" s="1" t="s">
        <v>11</v>
      </c>
    </row>
    <row r="91" spans="1:9" x14ac:dyDescent="0.45">
      <c r="A91" s="1" t="s">
        <v>78</v>
      </c>
      <c r="B91" s="1" t="s">
        <v>79</v>
      </c>
      <c r="C91" s="1">
        <v>3</v>
      </c>
      <c r="D91" s="2">
        <v>43502</v>
      </c>
      <c r="E91" s="2">
        <v>43537</v>
      </c>
      <c r="F91" s="4">
        <v>867.18</v>
      </c>
      <c r="G91" s="4">
        <v>2542.0100000000002</v>
      </c>
      <c r="H91" s="4">
        <v>-1674.83</v>
      </c>
      <c r="I91" s="1" t="s">
        <v>11</v>
      </c>
    </row>
    <row r="92" spans="1:9" x14ac:dyDescent="0.45">
      <c r="A92" s="1" t="s">
        <v>78</v>
      </c>
      <c r="B92" s="1" t="s">
        <v>79</v>
      </c>
      <c r="C92" s="1">
        <v>5</v>
      </c>
      <c r="D92" s="2">
        <v>43518</v>
      </c>
      <c r="E92" s="2">
        <v>43537</v>
      </c>
      <c r="F92" s="4">
        <v>1445.31</v>
      </c>
      <c r="G92" s="4">
        <v>848.39</v>
      </c>
      <c r="H92" s="4">
        <v>596.91999999999996</v>
      </c>
      <c r="I92" s="1" t="s">
        <v>11</v>
      </c>
    </row>
    <row r="93" spans="1:9" x14ac:dyDescent="0.45">
      <c r="A93" s="1" t="s">
        <v>78</v>
      </c>
      <c r="B93" s="1" t="s">
        <v>79</v>
      </c>
      <c r="C93" s="1">
        <v>2</v>
      </c>
      <c r="D93" s="2">
        <v>43522</v>
      </c>
      <c r="E93" s="2">
        <v>43537</v>
      </c>
      <c r="F93" s="4">
        <v>578.12</v>
      </c>
      <c r="G93" s="4">
        <v>266.33</v>
      </c>
      <c r="H93" s="4">
        <v>311.79000000000002</v>
      </c>
      <c r="I93" s="1" t="s">
        <v>11</v>
      </c>
    </row>
    <row r="94" spans="1:9" x14ac:dyDescent="0.45">
      <c r="A94" s="1" t="s">
        <v>78</v>
      </c>
      <c r="B94" s="1" t="s">
        <v>79</v>
      </c>
      <c r="C94" s="1">
        <v>10</v>
      </c>
      <c r="D94" s="2">
        <v>43536</v>
      </c>
      <c r="E94" s="2">
        <v>43537</v>
      </c>
      <c r="F94" s="4">
        <v>2890.62</v>
      </c>
      <c r="G94" s="4">
        <v>1601.82</v>
      </c>
      <c r="H94" s="4">
        <v>1288.8</v>
      </c>
      <c r="I94" s="1" t="s">
        <v>11</v>
      </c>
    </row>
    <row r="95" spans="1:9" x14ac:dyDescent="0.45">
      <c r="A95" s="1" t="s">
        <v>80</v>
      </c>
      <c r="B95" s="1" t="s">
        <v>81</v>
      </c>
      <c r="C95" s="1">
        <v>1</v>
      </c>
      <c r="D95" s="2">
        <v>43516</v>
      </c>
      <c r="E95" s="2">
        <v>43537</v>
      </c>
      <c r="F95" s="4">
        <v>1700.33</v>
      </c>
      <c r="G95" s="4">
        <v>1376.64</v>
      </c>
      <c r="H95" s="4">
        <v>323.69</v>
      </c>
      <c r="I95" s="1" t="s">
        <v>11</v>
      </c>
    </row>
    <row r="96" spans="1:9" x14ac:dyDescent="0.45">
      <c r="A96" s="1" t="s">
        <v>172</v>
      </c>
      <c r="B96" s="1" t="s">
        <v>173</v>
      </c>
      <c r="C96" s="1">
        <v>1</v>
      </c>
      <c r="D96" s="2">
        <v>43515</v>
      </c>
      <c r="E96" s="2">
        <v>43536</v>
      </c>
      <c r="F96" s="4">
        <v>319.3</v>
      </c>
      <c r="G96" s="4">
        <v>177.64</v>
      </c>
      <c r="H96" s="4">
        <v>141.66</v>
      </c>
      <c r="I96" s="1" t="s">
        <v>11</v>
      </c>
    </row>
    <row r="97" spans="1:9" x14ac:dyDescent="0.45">
      <c r="A97" s="1" t="s">
        <v>68</v>
      </c>
      <c r="B97" s="1" t="s">
        <v>69</v>
      </c>
      <c r="C97" s="1">
        <v>1</v>
      </c>
      <c r="D97" s="2">
        <v>43530</v>
      </c>
      <c r="E97" s="2">
        <v>43530</v>
      </c>
      <c r="F97" s="4">
        <v>94.95</v>
      </c>
      <c r="G97" s="4">
        <v>111.34</v>
      </c>
      <c r="H97" s="4">
        <v>-16.39</v>
      </c>
      <c r="I97" s="1" t="s">
        <v>11</v>
      </c>
    </row>
    <row r="98" spans="1:9" x14ac:dyDescent="0.45">
      <c r="A98" s="1" t="s">
        <v>108</v>
      </c>
      <c r="B98" s="1" t="s">
        <v>109</v>
      </c>
      <c r="C98" s="1">
        <v>1</v>
      </c>
      <c r="D98" s="2">
        <v>43500</v>
      </c>
      <c r="E98" s="2">
        <v>43530</v>
      </c>
      <c r="F98" s="4">
        <v>1902.64</v>
      </c>
      <c r="G98" s="4">
        <v>2648.64</v>
      </c>
      <c r="H98" s="4">
        <v>-746</v>
      </c>
      <c r="I98" s="1" t="s">
        <v>11</v>
      </c>
    </row>
    <row r="99" spans="1:9" x14ac:dyDescent="0.45">
      <c r="A99" s="1" t="s">
        <v>108</v>
      </c>
      <c r="B99" s="1" t="s">
        <v>109</v>
      </c>
      <c r="C99" s="1">
        <v>1</v>
      </c>
      <c r="D99" s="2">
        <v>43517</v>
      </c>
      <c r="E99" s="2">
        <v>43530</v>
      </c>
      <c r="F99" s="4">
        <v>1902.64</v>
      </c>
      <c r="G99" s="4">
        <v>755.64</v>
      </c>
      <c r="H99" s="4">
        <v>1147</v>
      </c>
      <c r="I99" s="1" t="s">
        <v>11</v>
      </c>
    </row>
    <row r="100" spans="1:9" x14ac:dyDescent="0.45">
      <c r="A100" s="1" t="s">
        <v>108</v>
      </c>
      <c r="B100" s="1" t="s">
        <v>109</v>
      </c>
      <c r="C100" s="1">
        <v>1</v>
      </c>
      <c r="D100" s="2">
        <v>43523</v>
      </c>
      <c r="E100" s="2">
        <v>43530</v>
      </c>
      <c r="F100" s="4">
        <v>1902.63</v>
      </c>
      <c r="G100" s="4">
        <v>789.64</v>
      </c>
      <c r="H100" s="4">
        <v>1112.99</v>
      </c>
      <c r="I100" s="1" t="s">
        <v>11</v>
      </c>
    </row>
    <row r="101" spans="1:9" x14ac:dyDescent="0.45">
      <c r="A101" s="1" t="s">
        <v>102</v>
      </c>
      <c r="B101" s="1" t="s">
        <v>103</v>
      </c>
      <c r="C101" s="1">
        <v>1</v>
      </c>
      <c r="D101" s="2">
        <v>43500</v>
      </c>
      <c r="E101" s="2">
        <v>43529</v>
      </c>
      <c r="F101" s="4">
        <v>4043.02</v>
      </c>
      <c r="G101" s="4">
        <v>3989.64</v>
      </c>
      <c r="H101" s="4">
        <v>53.38</v>
      </c>
      <c r="I101" s="1" t="s">
        <v>11</v>
      </c>
    </row>
    <row r="102" spans="1:9" x14ac:dyDescent="0.45">
      <c r="A102" s="1" t="s">
        <v>102</v>
      </c>
      <c r="B102" s="1" t="s">
        <v>103</v>
      </c>
      <c r="C102" s="1">
        <v>1</v>
      </c>
      <c r="D102" s="2">
        <v>43502</v>
      </c>
      <c r="E102" s="2">
        <v>43529</v>
      </c>
      <c r="F102" s="4">
        <v>4043.02</v>
      </c>
      <c r="G102" s="4">
        <v>2524.64</v>
      </c>
      <c r="H102" s="4">
        <v>1518.38</v>
      </c>
      <c r="I102" s="1" t="s">
        <v>11</v>
      </c>
    </row>
    <row r="103" spans="1:9" x14ac:dyDescent="0.45">
      <c r="A103" s="1" t="s">
        <v>102</v>
      </c>
      <c r="B103" s="1" t="s">
        <v>103</v>
      </c>
      <c r="C103" s="1">
        <v>1</v>
      </c>
      <c r="D103" s="2">
        <v>43516</v>
      </c>
      <c r="E103" s="2">
        <v>43529</v>
      </c>
      <c r="F103" s="4">
        <v>4043.02</v>
      </c>
      <c r="G103" s="4">
        <v>2088.64</v>
      </c>
      <c r="H103" s="4">
        <v>1954.38</v>
      </c>
      <c r="I103" s="1" t="s">
        <v>11</v>
      </c>
    </row>
    <row r="104" spans="1:9" x14ac:dyDescent="0.45">
      <c r="A104" s="1" t="s">
        <v>102</v>
      </c>
      <c r="B104" s="1" t="s">
        <v>103</v>
      </c>
      <c r="C104" s="1">
        <v>1</v>
      </c>
      <c r="D104" s="2">
        <v>43523</v>
      </c>
      <c r="E104" s="2">
        <v>43529</v>
      </c>
      <c r="F104" s="4">
        <v>4043.02</v>
      </c>
      <c r="G104" s="4">
        <v>1235.6400000000001</v>
      </c>
      <c r="H104" s="4">
        <v>2807.38</v>
      </c>
      <c r="I104" s="1" t="s">
        <v>11</v>
      </c>
    </row>
    <row r="105" spans="1:9" x14ac:dyDescent="0.45">
      <c r="A105" s="1" t="s">
        <v>96</v>
      </c>
      <c r="B105" s="1" t="s">
        <v>97</v>
      </c>
      <c r="C105" s="1">
        <v>300</v>
      </c>
      <c r="D105" s="2">
        <v>43528</v>
      </c>
      <c r="E105" s="2">
        <v>43525</v>
      </c>
      <c r="F105" s="4">
        <v>342523.58</v>
      </c>
      <c r="G105" s="4">
        <v>347529.84</v>
      </c>
      <c r="H105" s="4">
        <v>-5006.26</v>
      </c>
      <c r="I105" s="1" t="s">
        <v>11</v>
      </c>
    </row>
    <row r="106" spans="1:9" x14ac:dyDescent="0.45">
      <c r="A106" s="1" t="s">
        <v>142</v>
      </c>
      <c r="B106" s="1" t="s">
        <v>143</v>
      </c>
      <c r="C106" s="1">
        <v>100</v>
      </c>
      <c r="D106" s="2">
        <v>43501</v>
      </c>
      <c r="E106" s="2">
        <v>43523</v>
      </c>
      <c r="F106" s="4">
        <v>6002.92</v>
      </c>
      <c r="G106" s="4">
        <v>6014.95</v>
      </c>
      <c r="H106" s="4">
        <v>-12.03</v>
      </c>
      <c r="I106" s="1" t="s">
        <v>11</v>
      </c>
    </row>
    <row r="107" spans="1:9" x14ac:dyDescent="0.45">
      <c r="A107" s="1" t="s">
        <v>100</v>
      </c>
      <c r="B107" s="1" t="s">
        <v>101</v>
      </c>
      <c r="C107" s="1">
        <v>1</v>
      </c>
      <c r="D107" s="2">
        <v>43515</v>
      </c>
      <c r="E107" s="2">
        <v>43517</v>
      </c>
      <c r="F107" s="4">
        <v>1102.3399999999999</v>
      </c>
      <c r="G107" s="4">
        <v>485.64</v>
      </c>
      <c r="H107" s="4">
        <v>616.70000000000005</v>
      </c>
      <c r="I107" s="1" t="s">
        <v>11</v>
      </c>
    </row>
    <row r="108" spans="1:9" x14ac:dyDescent="0.45">
      <c r="A108" s="1" t="s">
        <v>104</v>
      </c>
      <c r="B108" s="1" t="s">
        <v>105</v>
      </c>
      <c r="C108" s="1">
        <v>1</v>
      </c>
      <c r="D108" s="2">
        <v>43516</v>
      </c>
      <c r="E108" s="2">
        <v>43517</v>
      </c>
      <c r="F108" s="4">
        <v>1080.29</v>
      </c>
      <c r="G108" s="4">
        <v>505.64</v>
      </c>
      <c r="H108" s="4">
        <v>574.65</v>
      </c>
      <c r="I108" s="1" t="s">
        <v>11</v>
      </c>
    </row>
    <row r="109" spans="1:9" x14ac:dyDescent="0.45">
      <c r="A109" s="1" t="s">
        <v>148</v>
      </c>
      <c r="B109" s="1" t="s">
        <v>149</v>
      </c>
      <c r="C109" s="1">
        <v>3</v>
      </c>
      <c r="D109" s="2">
        <v>43487</v>
      </c>
      <c r="E109" s="2">
        <v>43517</v>
      </c>
      <c r="F109" s="4">
        <v>472.99</v>
      </c>
      <c r="G109" s="4">
        <v>226.01</v>
      </c>
      <c r="H109" s="4">
        <v>246.98</v>
      </c>
      <c r="I109" s="1" t="s">
        <v>11</v>
      </c>
    </row>
    <row r="110" spans="1:9" x14ac:dyDescent="0.45">
      <c r="A110" s="1" t="s">
        <v>146</v>
      </c>
      <c r="B110" s="1" t="s">
        <v>147</v>
      </c>
      <c r="C110" s="1">
        <v>300</v>
      </c>
      <c r="D110" s="2">
        <v>43504</v>
      </c>
      <c r="E110" s="2">
        <v>43516</v>
      </c>
      <c r="F110" s="4">
        <v>1916.55</v>
      </c>
      <c r="G110" s="4">
        <v>1766.96</v>
      </c>
      <c r="H110" s="4">
        <v>149.59</v>
      </c>
      <c r="I110" s="1" t="s">
        <v>11</v>
      </c>
    </row>
    <row r="111" spans="1:9" x14ac:dyDescent="0.45">
      <c r="A111" s="1" t="s">
        <v>214</v>
      </c>
      <c r="B111" s="1" t="s">
        <v>215</v>
      </c>
      <c r="C111" s="1">
        <v>1</v>
      </c>
      <c r="D111" s="2">
        <v>43494</v>
      </c>
      <c r="E111" s="2">
        <v>43516</v>
      </c>
      <c r="F111" s="4">
        <v>746.83</v>
      </c>
      <c r="G111" s="4">
        <v>480.68</v>
      </c>
      <c r="H111" s="4">
        <v>266.14999999999998</v>
      </c>
      <c r="I111" s="1" t="s">
        <v>11</v>
      </c>
    </row>
    <row r="112" spans="1:9" x14ac:dyDescent="0.45">
      <c r="A112" s="1" t="s">
        <v>214</v>
      </c>
      <c r="B112" s="1" t="s">
        <v>215</v>
      </c>
      <c r="C112" s="1">
        <v>1</v>
      </c>
      <c r="D112" s="2">
        <v>43501</v>
      </c>
      <c r="E112" s="2">
        <v>43516</v>
      </c>
      <c r="F112" s="4">
        <v>746.82</v>
      </c>
      <c r="G112" s="4">
        <v>565.64</v>
      </c>
      <c r="H112" s="4">
        <v>181.18</v>
      </c>
      <c r="I112" s="1" t="s">
        <v>11</v>
      </c>
    </row>
    <row r="113" spans="1:9" x14ac:dyDescent="0.45">
      <c r="A113" s="1" t="s">
        <v>98</v>
      </c>
      <c r="B113" s="1" t="s">
        <v>99</v>
      </c>
      <c r="C113" s="1">
        <v>1</v>
      </c>
      <c r="D113" s="2">
        <v>43509</v>
      </c>
      <c r="E113" s="2">
        <v>43515</v>
      </c>
      <c r="F113" s="4">
        <v>996.82</v>
      </c>
      <c r="G113" s="4">
        <v>417.64</v>
      </c>
      <c r="H113" s="4">
        <v>579.17999999999995</v>
      </c>
      <c r="I113" s="1" t="s">
        <v>11</v>
      </c>
    </row>
    <row r="114" spans="1:9" x14ac:dyDescent="0.45">
      <c r="A114" s="1" t="s">
        <v>170</v>
      </c>
      <c r="B114" s="1" t="s">
        <v>171</v>
      </c>
      <c r="C114" s="1">
        <v>1</v>
      </c>
      <c r="D114" s="2">
        <v>43515</v>
      </c>
      <c r="E114" s="2">
        <v>43515</v>
      </c>
      <c r="F114" s="4">
        <v>211.35</v>
      </c>
      <c r="G114" s="4">
        <v>84.99</v>
      </c>
      <c r="H114" s="4">
        <v>126.36</v>
      </c>
      <c r="I114" s="1" t="s">
        <v>11</v>
      </c>
    </row>
    <row r="115" spans="1:9" x14ac:dyDescent="0.45">
      <c r="A115" s="1" t="s">
        <v>20</v>
      </c>
      <c r="B115" s="1" t="s">
        <v>21</v>
      </c>
      <c r="C115" s="1">
        <v>5</v>
      </c>
      <c r="D115" s="2">
        <v>43482</v>
      </c>
      <c r="E115" s="2">
        <v>43511</v>
      </c>
      <c r="F115" s="4">
        <v>1254.08</v>
      </c>
      <c r="G115" s="4">
        <v>978.39</v>
      </c>
      <c r="H115" s="4">
        <v>275.69</v>
      </c>
      <c r="I115" s="1" t="s">
        <v>11</v>
      </c>
    </row>
    <row r="116" spans="1:9" x14ac:dyDescent="0.45">
      <c r="A116" s="1" t="s">
        <v>82</v>
      </c>
      <c r="B116" s="1" t="s">
        <v>83</v>
      </c>
      <c r="C116" s="1">
        <v>1</v>
      </c>
      <c r="D116" s="2">
        <v>43502</v>
      </c>
      <c r="E116" s="2">
        <v>43511</v>
      </c>
      <c r="F116" s="4">
        <v>2534.27</v>
      </c>
      <c r="G116" s="4">
        <v>2255.64</v>
      </c>
      <c r="H116" s="4">
        <v>278.63</v>
      </c>
      <c r="I116" s="1" t="s">
        <v>11</v>
      </c>
    </row>
    <row r="117" spans="1:9" x14ac:dyDescent="0.45">
      <c r="A117" s="1" t="s">
        <v>98</v>
      </c>
      <c r="B117" s="1" t="s">
        <v>99</v>
      </c>
      <c r="C117" s="1">
        <v>1</v>
      </c>
      <c r="D117" s="2">
        <v>43509</v>
      </c>
      <c r="E117" s="2">
        <v>43511</v>
      </c>
      <c r="F117" s="4">
        <v>996.82</v>
      </c>
      <c r="G117" s="4">
        <v>395.64</v>
      </c>
      <c r="H117" s="4">
        <v>601.17999999999995</v>
      </c>
      <c r="I117" s="1" t="s">
        <v>11</v>
      </c>
    </row>
    <row r="118" spans="1:9" x14ac:dyDescent="0.45">
      <c r="A118" s="1" t="s">
        <v>212</v>
      </c>
      <c r="B118" s="1" t="s">
        <v>213</v>
      </c>
      <c r="C118" s="1">
        <v>1</v>
      </c>
      <c r="D118" s="2">
        <v>43494</v>
      </c>
      <c r="E118" s="2">
        <v>43511</v>
      </c>
      <c r="F118" s="4">
        <v>749.36</v>
      </c>
      <c r="G118" s="4">
        <v>129.63999999999999</v>
      </c>
      <c r="H118" s="4">
        <v>619.72</v>
      </c>
      <c r="I118" s="1" t="s">
        <v>11</v>
      </c>
    </row>
    <row r="119" spans="1:9" x14ac:dyDescent="0.45">
      <c r="A119" s="1" t="s">
        <v>242</v>
      </c>
      <c r="B119" s="1" t="s">
        <v>243</v>
      </c>
      <c r="C119" s="1">
        <v>5</v>
      </c>
      <c r="D119" s="2">
        <v>43374</v>
      </c>
      <c r="E119" s="2">
        <v>43511</v>
      </c>
      <c r="F119" s="4">
        <v>0</v>
      </c>
      <c r="G119" s="4">
        <v>2003.42</v>
      </c>
      <c r="H119" s="4">
        <v>-2003.42</v>
      </c>
      <c r="I119" s="1" t="s">
        <v>11</v>
      </c>
    </row>
    <row r="120" spans="1:9" x14ac:dyDescent="0.45">
      <c r="A120" s="1" t="s">
        <v>242</v>
      </c>
      <c r="B120" s="1" t="s">
        <v>243</v>
      </c>
      <c r="C120" s="1">
        <v>15</v>
      </c>
      <c r="D120" s="2">
        <v>43483</v>
      </c>
      <c r="E120" s="2">
        <v>43511</v>
      </c>
      <c r="F120" s="4">
        <v>0</v>
      </c>
      <c r="G120" s="4">
        <v>690.21</v>
      </c>
      <c r="H120" s="4">
        <v>-690.21</v>
      </c>
      <c r="I120" s="1" t="s">
        <v>11</v>
      </c>
    </row>
    <row r="121" spans="1:9" x14ac:dyDescent="0.45">
      <c r="A121" s="1" t="s">
        <v>242</v>
      </c>
      <c r="B121" s="1" t="s">
        <v>243</v>
      </c>
      <c r="C121" s="1">
        <v>10</v>
      </c>
      <c r="D121" s="2">
        <v>43488</v>
      </c>
      <c r="E121" s="2">
        <v>43511</v>
      </c>
      <c r="F121" s="4">
        <v>0</v>
      </c>
      <c r="G121" s="4">
        <v>210.34</v>
      </c>
      <c r="H121" s="4">
        <v>-210.34</v>
      </c>
      <c r="I121" s="1" t="s">
        <v>11</v>
      </c>
    </row>
    <row r="122" spans="1:9" x14ac:dyDescent="0.45">
      <c r="A122" s="1" t="s">
        <v>30</v>
      </c>
      <c r="B122" s="1" t="s">
        <v>31</v>
      </c>
      <c r="C122" s="1">
        <v>1</v>
      </c>
      <c r="D122" s="2">
        <v>43461</v>
      </c>
      <c r="E122" s="2">
        <v>43507</v>
      </c>
      <c r="F122" s="4">
        <v>233.32</v>
      </c>
      <c r="G122" s="4">
        <v>49.68</v>
      </c>
      <c r="H122" s="4">
        <v>183.64</v>
      </c>
      <c r="I122" s="1" t="s">
        <v>11</v>
      </c>
    </row>
    <row r="123" spans="1:9" x14ac:dyDescent="0.45">
      <c r="A123" s="1" t="s">
        <v>30</v>
      </c>
      <c r="B123" s="1" t="s">
        <v>31</v>
      </c>
      <c r="C123" s="1">
        <v>4</v>
      </c>
      <c r="D123" s="2">
        <v>43482</v>
      </c>
      <c r="E123" s="2">
        <v>43507</v>
      </c>
      <c r="F123" s="4">
        <v>933.27</v>
      </c>
      <c r="G123" s="4">
        <v>207.69</v>
      </c>
      <c r="H123" s="4">
        <v>725.58</v>
      </c>
      <c r="I123" s="1" t="s">
        <v>11</v>
      </c>
    </row>
    <row r="124" spans="1:9" x14ac:dyDescent="0.45">
      <c r="A124" s="1" t="s">
        <v>18</v>
      </c>
      <c r="B124" s="1" t="s">
        <v>19</v>
      </c>
      <c r="C124" s="1">
        <v>10</v>
      </c>
      <c r="D124" s="2">
        <v>43482</v>
      </c>
      <c r="E124" s="2">
        <v>43502</v>
      </c>
      <c r="F124" s="4">
        <v>969.81</v>
      </c>
      <c r="G124" s="4">
        <v>616.84</v>
      </c>
      <c r="H124" s="4">
        <v>352.97</v>
      </c>
      <c r="I124" s="1" t="s">
        <v>11</v>
      </c>
    </row>
    <row r="125" spans="1:9" x14ac:dyDescent="0.45">
      <c r="A125" s="1" t="s">
        <v>18</v>
      </c>
      <c r="B125" s="1" t="s">
        <v>19</v>
      </c>
      <c r="C125" s="1">
        <v>5</v>
      </c>
      <c r="D125" s="2">
        <v>43494</v>
      </c>
      <c r="E125" s="2">
        <v>43502</v>
      </c>
      <c r="F125" s="4">
        <v>484.9</v>
      </c>
      <c r="G125" s="4">
        <v>223.37</v>
      </c>
      <c r="H125" s="4">
        <v>261.52999999999997</v>
      </c>
      <c r="I125" s="1" t="s">
        <v>11</v>
      </c>
    </row>
    <row r="126" spans="1:9" x14ac:dyDescent="0.45">
      <c r="A126" s="1" t="s">
        <v>166</v>
      </c>
      <c r="B126" s="1" t="s">
        <v>167</v>
      </c>
      <c r="C126" s="1">
        <v>300</v>
      </c>
      <c r="D126" s="2">
        <v>43497</v>
      </c>
      <c r="E126" s="2">
        <v>43502</v>
      </c>
      <c r="F126" s="4">
        <v>4183.68</v>
      </c>
      <c r="G126" s="4">
        <v>3816.98</v>
      </c>
      <c r="H126" s="4">
        <v>366.7</v>
      </c>
      <c r="I126" s="1" t="s">
        <v>11</v>
      </c>
    </row>
    <row r="127" spans="1:9" x14ac:dyDescent="0.45">
      <c r="A127" s="1" t="s">
        <v>196</v>
      </c>
      <c r="B127" s="1" t="s">
        <v>197</v>
      </c>
      <c r="C127" s="1">
        <v>100</v>
      </c>
      <c r="D127" s="2">
        <v>43378</v>
      </c>
      <c r="E127" s="2">
        <v>43502</v>
      </c>
      <c r="F127" s="4">
        <v>846.1</v>
      </c>
      <c r="G127" s="4">
        <v>991.59</v>
      </c>
      <c r="H127" s="4">
        <v>-145.49</v>
      </c>
      <c r="I127" s="1" t="s">
        <v>11</v>
      </c>
    </row>
    <row r="128" spans="1:9" x14ac:dyDescent="0.45">
      <c r="A128" s="1" t="s">
        <v>196</v>
      </c>
      <c r="B128" s="1" t="s">
        <v>197</v>
      </c>
      <c r="C128" s="1">
        <v>300</v>
      </c>
      <c r="D128" s="2">
        <v>43501</v>
      </c>
      <c r="E128" s="2">
        <v>43502</v>
      </c>
      <c r="F128" s="4">
        <v>2538.3000000000002</v>
      </c>
      <c r="G128" s="4">
        <v>2092.9499999999998</v>
      </c>
      <c r="H128" s="4">
        <v>445.35</v>
      </c>
      <c r="I128" s="1" t="s">
        <v>11</v>
      </c>
    </row>
    <row r="129" spans="1:9" x14ac:dyDescent="0.45">
      <c r="A129" s="1" t="s">
        <v>110</v>
      </c>
      <c r="B129" s="1" t="s">
        <v>111</v>
      </c>
      <c r="C129" s="1">
        <v>1</v>
      </c>
      <c r="D129" s="2">
        <v>43500</v>
      </c>
      <c r="E129" s="2">
        <v>43501</v>
      </c>
      <c r="F129" s="4">
        <v>236.3</v>
      </c>
      <c r="G129" s="4">
        <v>167.64</v>
      </c>
      <c r="H129" s="4">
        <v>68.66</v>
      </c>
      <c r="I129" s="1" t="s">
        <v>11</v>
      </c>
    </row>
    <row r="130" spans="1:9" x14ac:dyDescent="0.45">
      <c r="A130" s="1" t="s">
        <v>160</v>
      </c>
      <c r="B130" s="1" t="s">
        <v>161</v>
      </c>
      <c r="C130" s="1">
        <v>100</v>
      </c>
      <c r="D130" s="2">
        <v>43497</v>
      </c>
      <c r="E130" s="2">
        <v>43501</v>
      </c>
      <c r="F130" s="4">
        <v>4119.8</v>
      </c>
      <c r="G130" s="4">
        <v>4052.55</v>
      </c>
      <c r="H130" s="4">
        <v>67.25</v>
      </c>
      <c r="I130" s="1" t="s">
        <v>11</v>
      </c>
    </row>
    <row r="131" spans="1:9" x14ac:dyDescent="0.45">
      <c r="A131" s="1" t="s">
        <v>106</v>
      </c>
      <c r="B131" s="1" t="s">
        <v>107</v>
      </c>
      <c r="C131" s="1">
        <v>1</v>
      </c>
      <c r="D131" s="2">
        <v>43500</v>
      </c>
      <c r="E131" s="2">
        <v>43500</v>
      </c>
      <c r="F131" s="4">
        <v>202.3</v>
      </c>
      <c r="G131" s="4">
        <v>213.64</v>
      </c>
      <c r="H131" s="4">
        <v>-11.34</v>
      </c>
      <c r="I131" s="1" t="s">
        <v>11</v>
      </c>
    </row>
    <row r="132" spans="1:9" x14ac:dyDescent="0.45">
      <c r="A132" s="1" t="s">
        <v>12</v>
      </c>
      <c r="B132" s="1" t="s">
        <v>13</v>
      </c>
      <c r="C132" s="1">
        <v>2000</v>
      </c>
      <c r="D132" s="2">
        <v>43420</v>
      </c>
      <c r="E132" s="2">
        <v>43497</v>
      </c>
      <c r="F132" s="4">
        <v>14374.86</v>
      </c>
      <c r="G132" s="4">
        <v>14423.64</v>
      </c>
      <c r="H132" s="4">
        <v>-48.78</v>
      </c>
      <c r="I132" s="1" t="s">
        <v>11</v>
      </c>
    </row>
    <row r="133" spans="1:9" x14ac:dyDescent="0.45">
      <c r="A133" s="1" t="s">
        <v>210</v>
      </c>
      <c r="B133" s="1" t="s">
        <v>211</v>
      </c>
      <c r="C133" s="1">
        <v>2</v>
      </c>
      <c r="D133" s="2">
        <v>43490</v>
      </c>
      <c r="E133" s="2">
        <v>43497</v>
      </c>
      <c r="F133" s="4">
        <v>0</v>
      </c>
      <c r="G133" s="4">
        <v>286.32</v>
      </c>
      <c r="H133" s="4">
        <v>-286.32</v>
      </c>
      <c r="I133" s="1" t="s">
        <v>11</v>
      </c>
    </row>
    <row r="134" spans="1:9" x14ac:dyDescent="0.45">
      <c r="A134" s="1" t="s">
        <v>248</v>
      </c>
      <c r="B134" s="1" t="s">
        <v>249</v>
      </c>
      <c r="C134" s="1">
        <v>100</v>
      </c>
      <c r="D134" s="2">
        <v>43494</v>
      </c>
      <c r="E134" s="2">
        <v>43497</v>
      </c>
      <c r="F134" s="4">
        <v>10194.91</v>
      </c>
      <c r="G134" s="4">
        <v>10153.629999999999</v>
      </c>
      <c r="H134" s="4">
        <v>41.28</v>
      </c>
      <c r="I134" s="1" t="s">
        <v>11</v>
      </c>
    </row>
    <row r="135" spans="1:9" x14ac:dyDescent="0.45">
      <c r="A135" s="1" t="s">
        <v>208</v>
      </c>
      <c r="B135" s="1" t="s">
        <v>209</v>
      </c>
      <c r="C135" s="1">
        <v>2</v>
      </c>
      <c r="D135" s="2">
        <v>43490</v>
      </c>
      <c r="E135" s="2">
        <v>43494</v>
      </c>
      <c r="F135" s="4">
        <v>333.67</v>
      </c>
      <c r="G135" s="4">
        <v>27.02</v>
      </c>
      <c r="H135" s="4">
        <v>306.64999999999998</v>
      </c>
      <c r="I135" s="1" t="s">
        <v>11</v>
      </c>
    </row>
    <row r="136" spans="1:9" x14ac:dyDescent="0.45">
      <c r="A136" s="1" t="s">
        <v>20</v>
      </c>
      <c r="B136" s="1" t="s">
        <v>21</v>
      </c>
      <c r="C136" s="1">
        <v>5</v>
      </c>
      <c r="D136" s="2">
        <v>43482</v>
      </c>
      <c r="E136" s="2">
        <v>43493</v>
      </c>
      <c r="F136" s="4">
        <v>1254.0899999999999</v>
      </c>
      <c r="G136" s="4">
        <v>1093.3699999999999</v>
      </c>
      <c r="H136" s="4">
        <v>160.72</v>
      </c>
      <c r="I136" s="1" t="s">
        <v>11</v>
      </c>
    </row>
    <row r="137" spans="1:9" x14ac:dyDescent="0.45">
      <c r="A137" s="1" t="s">
        <v>202</v>
      </c>
      <c r="B137" s="1" t="s">
        <v>203</v>
      </c>
      <c r="C137" s="1">
        <v>200</v>
      </c>
      <c r="D137" s="2">
        <v>43413</v>
      </c>
      <c r="E137" s="2">
        <v>43493</v>
      </c>
      <c r="F137" s="4">
        <v>15158.41</v>
      </c>
      <c r="G137" s="4">
        <v>15171.31</v>
      </c>
      <c r="H137" s="4">
        <v>-12.9</v>
      </c>
      <c r="I137" s="1" t="s">
        <v>11</v>
      </c>
    </row>
    <row r="138" spans="1:9" x14ac:dyDescent="0.45">
      <c r="A138" s="1" t="s">
        <v>162</v>
      </c>
      <c r="B138" s="1" t="s">
        <v>163</v>
      </c>
      <c r="C138" s="1">
        <v>1</v>
      </c>
      <c r="D138" s="2">
        <v>43482</v>
      </c>
      <c r="E138" s="2">
        <v>43490</v>
      </c>
      <c r="F138" s="4">
        <v>0</v>
      </c>
      <c r="G138" s="4">
        <v>1461.63</v>
      </c>
      <c r="H138" s="4">
        <v>-1461.63</v>
      </c>
      <c r="I138" s="1" t="s">
        <v>11</v>
      </c>
    </row>
    <row r="139" spans="1:9" x14ac:dyDescent="0.45">
      <c r="A139" s="1" t="s">
        <v>168</v>
      </c>
      <c r="B139" s="1" t="s">
        <v>169</v>
      </c>
      <c r="C139" s="1">
        <v>5</v>
      </c>
      <c r="D139" s="2">
        <v>43487</v>
      </c>
      <c r="E139" s="2">
        <v>43490</v>
      </c>
      <c r="F139" s="4">
        <v>726.62</v>
      </c>
      <c r="G139" s="4">
        <v>398.42</v>
      </c>
      <c r="H139" s="4">
        <v>328.2</v>
      </c>
      <c r="I139" s="1" t="s">
        <v>11</v>
      </c>
    </row>
    <row r="140" spans="1:9" x14ac:dyDescent="0.45">
      <c r="A140" s="1" t="s">
        <v>16</v>
      </c>
      <c r="B140" s="1" t="s">
        <v>17</v>
      </c>
      <c r="C140" s="1">
        <v>10</v>
      </c>
      <c r="D140" s="2">
        <v>43482</v>
      </c>
      <c r="E140" s="2">
        <v>43487</v>
      </c>
      <c r="F140" s="4">
        <v>85.15</v>
      </c>
      <c r="G140" s="4">
        <v>10.34</v>
      </c>
      <c r="H140" s="4">
        <v>74.81</v>
      </c>
      <c r="I140" s="1" t="s">
        <v>11</v>
      </c>
    </row>
    <row r="141" spans="1:9" x14ac:dyDescent="0.45">
      <c r="A141" s="1" t="s">
        <v>58</v>
      </c>
      <c r="B141" s="1" t="s">
        <v>59</v>
      </c>
      <c r="C141" s="1">
        <v>3</v>
      </c>
      <c r="D141" s="2">
        <v>43389</v>
      </c>
      <c r="E141" s="2">
        <v>43487</v>
      </c>
      <c r="F141" s="4">
        <v>1004.45</v>
      </c>
      <c r="G141" s="4">
        <v>1112.05</v>
      </c>
      <c r="H141" s="4">
        <v>-107.6</v>
      </c>
      <c r="I141" s="1" t="s">
        <v>11</v>
      </c>
    </row>
    <row r="142" spans="1:9" x14ac:dyDescent="0.45">
      <c r="A142" s="1" t="s">
        <v>58</v>
      </c>
      <c r="B142" s="1" t="s">
        <v>59</v>
      </c>
      <c r="C142" s="1">
        <v>2</v>
      </c>
      <c r="D142" s="2">
        <v>43462</v>
      </c>
      <c r="E142" s="2">
        <v>43487</v>
      </c>
      <c r="F142" s="4">
        <v>669.63</v>
      </c>
      <c r="G142" s="4">
        <v>218.32</v>
      </c>
      <c r="H142" s="4">
        <v>451.31</v>
      </c>
      <c r="I142" s="1" t="s">
        <v>11</v>
      </c>
    </row>
    <row r="143" spans="1:9" x14ac:dyDescent="0.45">
      <c r="A143" s="1" t="s">
        <v>58</v>
      </c>
      <c r="B143" s="1" t="s">
        <v>59</v>
      </c>
      <c r="C143" s="1">
        <v>5</v>
      </c>
      <c r="D143" s="2">
        <v>43472</v>
      </c>
      <c r="E143" s="2">
        <v>43487</v>
      </c>
      <c r="F143" s="4">
        <v>1674.08</v>
      </c>
      <c r="G143" s="4">
        <v>933.42</v>
      </c>
      <c r="H143" s="4">
        <v>740.66</v>
      </c>
      <c r="I143" s="1" t="s">
        <v>11</v>
      </c>
    </row>
    <row r="144" spans="1:9" x14ac:dyDescent="0.45">
      <c r="A144" s="1" t="s">
        <v>60</v>
      </c>
      <c r="B144" s="1" t="s">
        <v>61</v>
      </c>
      <c r="C144" s="1">
        <v>10</v>
      </c>
      <c r="D144" s="2">
        <v>43472</v>
      </c>
      <c r="E144" s="2">
        <v>43487</v>
      </c>
      <c r="F144" s="4">
        <v>1298.19</v>
      </c>
      <c r="G144" s="4">
        <v>2616.84</v>
      </c>
      <c r="H144" s="4">
        <v>-1318.65</v>
      </c>
      <c r="I144" s="1" t="s">
        <v>11</v>
      </c>
    </row>
    <row r="145" spans="1:9" x14ac:dyDescent="0.45">
      <c r="A145" s="1" t="s">
        <v>206</v>
      </c>
      <c r="B145" s="1" t="s">
        <v>207</v>
      </c>
      <c r="C145" s="1">
        <v>1</v>
      </c>
      <c r="D145" s="2">
        <v>43480</v>
      </c>
      <c r="E145" s="2">
        <v>43487</v>
      </c>
      <c r="F145" s="4">
        <v>894.35</v>
      </c>
      <c r="G145" s="4">
        <v>508.63</v>
      </c>
      <c r="H145" s="4">
        <v>385.72</v>
      </c>
      <c r="I145" s="1" t="s">
        <v>11</v>
      </c>
    </row>
    <row r="146" spans="1:9" x14ac:dyDescent="0.45">
      <c r="A146" s="1" t="s">
        <v>238</v>
      </c>
      <c r="B146" s="1" t="s">
        <v>239</v>
      </c>
      <c r="C146" s="1">
        <v>2</v>
      </c>
      <c r="D146" s="2">
        <v>43473</v>
      </c>
      <c r="E146" s="2">
        <v>43487</v>
      </c>
      <c r="F146" s="4">
        <v>595.66999999999996</v>
      </c>
      <c r="G146" s="4">
        <v>561.37</v>
      </c>
      <c r="H146" s="4">
        <v>34.299999999999997</v>
      </c>
      <c r="I146" s="1" t="s">
        <v>11</v>
      </c>
    </row>
    <row r="147" spans="1:9" x14ac:dyDescent="0.45">
      <c r="A147" s="1" t="s">
        <v>240</v>
      </c>
      <c r="B147" s="1" t="s">
        <v>241</v>
      </c>
      <c r="C147" s="1">
        <v>2</v>
      </c>
      <c r="D147" s="2">
        <v>43473</v>
      </c>
      <c r="E147" s="2">
        <v>43487</v>
      </c>
      <c r="F147" s="4">
        <v>1353.66</v>
      </c>
      <c r="G147" s="4">
        <v>570.32000000000005</v>
      </c>
      <c r="H147" s="4">
        <v>783.34</v>
      </c>
      <c r="I147" s="1" t="s">
        <v>11</v>
      </c>
    </row>
    <row r="148" spans="1:9" x14ac:dyDescent="0.45">
      <c r="A148" s="1" t="s">
        <v>14</v>
      </c>
      <c r="B148" s="1" t="s">
        <v>15</v>
      </c>
      <c r="C148" s="1">
        <v>20</v>
      </c>
      <c r="D148" s="2">
        <v>43480</v>
      </c>
      <c r="E148" s="2">
        <v>43483</v>
      </c>
      <c r="F148" s="4">
        <v>189.3</v>
      </c>
      <c r="G148" s="4">
        <v>0</v>
      </c>
      <c r="H148" s="4">
        <v>189.3</v>
      </c>
      <c r="I148" s="1" t="s">
        <v>11</v>
      </c>
    </row>
    <row r="149" spans="1:9" x14ac:dyDescent="0.45">
      <c r="A149" s="1" t="s">
        <v>116</v>
      </c>
      <c r="B149" s="1" t="s">
        <v>117</v>
      </c>
      <c r="C149" s="1">
        <v>1</v>
      </c>
      <c r="D149" s="2">
        <v>43312</v>
      </c>
      <c r="E149" s="2">
        <v>43483</v>
      </c>
      <c r="F149" s="4">
        <v>0</v>
      </c>
      <c r="G149" s="4">
        <v>643.64</v>
      </c>
      <c r="H149" s="4">
        <v>-643.64</v>
      </c>
      <c r="I149" s="1" t="s">
        <v>11</v>
      </c>
    </row>
    <row r="150" spans="1:9" x14ac:dyDescent="0.45">
      <c r="A150" s="1" t="s">
        <v>116</v>
      </c>
      <c r="B150" s="1" t="s">
        <v>117</v>
      </c>
      <c r="C150" s="1">
        <v>1</v>
      </c>
      <c r="D150" s="2">
        <v>43318</v>
      </c>
      <c r="E150" s="2">
        <v>43483</v>
      </c>
      <c r="F150" s="4">
        <v>0</v>
      </c>
      <c r="G150" s="4">
        <v>465.63</v>
      </c>
      <c r="H150" s="4">
        <v>-465.63</v>
      </c>
      <c r="I150" s="1" t="s">
        <v>11</v>
      </c>
    </row>
    <row r="151" spans="1:9" x14ac:dyDescent="0.45">
      <c r="A151" s="1" t="s">
        <v>164</v>
      </c>
      <c r="B151" s="1" t="s">
        <v>165</v>
      </c>
      <c r="C151" s="1">
        <v>1</v>
      </c>
      <c r="D151" s="2">
        <v>43482</v>
      </c>
      <c r="E151" s="2">
        <v>43483</v>
      </c>
      <c r="F151" s="4">
        <v>505.31</v>
      </c>
      <c r="G151" s="4">
        <v>31.98</v>
      </c>
      <c r="H151" s="4">
        <v>473.33</v>
      </c>
      <c r="I151" s="1" t="s">
        <v>11</v>
      </c>
    </row>
    <row r="152" spans="1:9" x14ac:dyDescent="0.45">
      <c r="A152" s="1" t="s">
        <v>180</v>
      </c>
      <c r="B152" s="1" t="s">
        <v>181</v>
      </c>
      <c r="C152" s="1">
        <v>5</v>
      </c>
      <c r="D152" s="2">
        <v>43306</v>
      </c>
      <c r="E152" s="2">
        <v>43483</v>
      </c>
      <c r="F152" s="4">
        <v>0</v>
      </c>
      <c r="G152" s="4">
        <v>1156.6300000000001</v>
      </c>
      <c r="H152" s="4">
        <v>-1156.6300000000001</v>
      </c>
      <c r="I152" s="1" t="s">
        <v>11</v>
      </c>
    </row>
    <row r="153" spans="1:9" x14ac:dyDescent="0.45">
      <c r="A153" s="1" t="s">
        <v>180</v>
      </c>
      <c r="B153" s="1" t="s">
        <v>181</v>
      </c>
      <c r="C153" s="1">
        <v>5</v>
      </c>
      <c r="D153" s="2">
        <v>43307</v>
      </c>
      <c r="E153" s="2">
        <v>43483</v>
      </c>
      <c r="F153" s="4">
        <v>0</v>
      </c>
      <c r="G153" s="4">
        <v>1567.68</v>
      </c>
      <c r="H153" s="4">
        <v>-1567.68</v>
      </c>
      <c r="I153" s="1" t="s">
        <v>11</v>
      </c>
    </row>
    <row r="154" spans="1:9" x14ac:dyDescent="0.45">
      <c r="A154" s="1" t="s">
        <v>180</v>
      </c>
      <c r="B154" s="1" t="s">
        <v>181</v>
      </c>
      <c r="C154" s="1">
        <v>40</v>
      </c>
      <c r="D154" s="2">
        <v>43390</v>
      </c>
      <c r="E154" s="2">
        <v>43483</v>
      </c>
      <c r="F154" s="4">
        <v>0</v>
      </c>
      <c r="G154" s="4">
        <v>2107.37</v>
      </c>
      <c r="H154" s="4">
        <v>-2107.37</v>
      </c>
      <c r="I154" s="1" t="s">
        <v>11</v>
      </c>
    </row>
    <row r="155" spans="1:9" x14ac:dyDescent="0.45">
      <c r="A155" s="1" t="s">
        <v>180</v>
      </c>
      <c r="B155" s="1" t="s">
        <v>181</v>
      </c>
      <c r="C155" s="1">
        <v>10</v>
      </c>
      <c r="D155" s="2">
        <v>43446</v>
      </c>
      <c r="E155" s="2">
        <v>43483</v>
      </c>
      <c r="F155" s="4">
        <v>0</v>
      </c>
      <c r="G155" s="4">
        <v>351.79</v>
      </c>
      <c r="H155" s="4">
        <v>-351.79</v>
      </c>
      <c r="I155" s="1" t="s">
        <v>11</v>
      </c>
    </row>
    <row r="156" spans="1:9" x14ac:dyDescent="0.45">
      <c r="A156" s="1" t="s">
        <v>180</v>
      </c>
      <c r="B156" s="1" t="s">
        <v>181</v>
      </c>
      <c r="C156" s="1">
        <v>10</v>
      </c>
      <c r="D156" s="2">
        <v>43447</v>
      </c>
      <c r="E156" s="2">
        <v>43483</v>
      </c>
      <c r="F156" s="4">
        <v>0</v>
      </c>
      <c r="G156" s="4">
        <v>311.79000000000002</v>
      </c>
      <c r="H156" s="4">
        <v>-311.79000000000002</v>
      </c>
      <c r="I156" s="1" t="s">
        <v>11</v>
      </c>
    </row>
    <row r="157" spans="1:9" x14ac:dyDescent="0.45">
      <c r="A157" s="1" t="s">
        <v>180</v>
      </c>
      <c r="B157" s="1" t="s">
        <v>181</v>
      </c>
      <c r="C157" s="1">
        <v>10</v>
      </c>
      <c r="D157" s="2">
        <v>43469</v>
      </c>
      <c r="E157" s="2">
        <v>43483</v>
      </c>
      <c r="F157" s="4">
        <v>0</v>
      </c>
      <c r="G157" s="4">
        <v>35.29</v>
      </c>
      <c r="H157" s="4">
        <v>-35.29</v>
      </c>
      <c r="I157" s="1" t="s">
        <v>11</v>
      </c>
    </row>
    <row r="158" spans="1:9" x14ac:dyDescent="0.45">
      <c r="A158" s="1" t="s">
        <v>180</v>
      </c>
      <c r="B158" s="1" t="s">
        <v>181</v>
      </c>
      <c r="C158" s="1">
        <v>1</v>
      </c>
      <c r="D158" s="2">
        <v>43469</v>
      </c>
      <c r="E158" s="2">
        <v>43483</v>
      </c>
      <c r="F158" s="4">
        <v>0</v>
      </c>
      <c r="G158" s="4">
        <v>5.03</v>
      </c>
      <c r="H158" s="4">
        <v>-5.03</v>
      </c>
      <c r="I158" s="1" t="s">
        <v>11</v>
      </c>
    </row>
    <row r="159" spans="1:9" x14ac:dyDescent="0.45">
      <c r="A159" s="1" t="s">
        <v>180</v>
      </c>
      <c r="B159" s="1" t="s">
        <v>181</v>
      </c>
      <c r="C159" s="1">
        <v>46</v>
      </c>
      <c r="D159" s="2">
        <v>43469</v>
      </c>
      <c r="E159" s="2">
        <v>43483</v>
      </c>
      <c r="F159" s="4">
        <v>0</v>
      </c>
      <c r="G159" s="4">
        <v>239.88</v>
      </c>
      <c r="H159" s="4">
        <v>-239.88</v>
      </c>
      <c r="I159" s="1" t="s">
        <v>11</v>
      </c>
    </row>
    <row r="160" spans="1:9" x14ac:dyDescent="0.45">
      <c r="A160" s="1" t="s">
        <v>180</v>
      </c>
      <c r="B160" s="1" t="s">
        <v>181</v>
      </c>
      <c r="C160" s="1">
        <v>6</v>
      </c>
      <c r="D160" s="2">
        <v>43469</v>
      </c>
      <c r="E160" s="2">
        <v>43483</v>
      </c>
      <c r="F160" s="4">
        <v>0</v>
      </c>
      <c r="G160" s="4">
        <v>31.71</v>
      </c>
      <c r="H160" s="4">
        <v>-31.71</v>
      </c>
      <c r="I160" s="1" t="s">
        <v>11</v>
      </c>
    </row>
    <row r="161" spans="1:9" x14ac:dyDescent="0.45">
      <c r="A161" s="1" t="s">
        <v>180</v>
      </c>
      <c r="B161" s="1" t="s">
        <v>181</v>
      </c>
      <c r="C161" s="1">
        <v>14</v>
      </c>
      <c r="D161" s="2">
        <v>43469</v>
      </c>
      <c r="E161" s="2">
        <v>43483</v>
      </c>
      <c r="F161" s="4">
        <v>0</v>
      </c>
      <c r="G161" s="4">
        <v>73.98</v>
      </c>
      <c r="H161" s="4">
        <v>-73.98</v>
      </c>
      <c r="I161" s="1" t="s">
        <v>11</v>
      </c>
    </row>
    <row r="162" spans="1:9" x14ac:dyDescent="0.45">
      <c r="A162" s="1" t="s">
        <v>180</v>
      </c>
      <c r="B162" s="1" t="s">
        <v>181</v>
      </c>
      <c r="C162" s="1">
        <v>46</v>
      </c>
      <c r="D162" s="2">
        <v>43469</v>
      </c>
      <c r="E162" s="2">
        <v>43483</v>
      </c>
      <c r="F162" s="4">
        <v>0</v>
      </c>
      <c r="G162" s="4">
        <v>243.08</v>
      </c>
      <c r="H162" s="4">
        <v>-243.08</v>
      </c>
      <c r="I162" s="1" t="s">
        <v>11</v>
      </c>
    </row>
    <row r="163" spans="1:9" x14ac:dyDescent="0.45">
      <c r="A163" s="1" t="s">
        <v>180</v>
      </c>
      <c r="B163" s="1" t="s">
        <v>181</v>
      </c>
      <c r="C163" s="1">
        <v>7</v>
      </c>
      <c r="D163" s="2">
        <v>43469</v>
      </c>
      <c r="E163" s="2">
        <v>43483</v>
      </c>
      <c r="F163" s="4">
        <v>0</v>
      </c>
      <c r="G163" s="4">
        <v>36.99</v>
      </c>
      <c r="H163" s="4">
        <v>-36.99</v>
      </c>
      <c r="I163" s="1" t="s">
        <v>11</v>
      </c>
    </row>
    <row r="164" spans="1:9" x14ac:dyDescent="0.45">
      <c r="A164" s="1" t="s">
        <v>32</v>
      </c>
      <c r="B164" s="1" t="s">
        <v>33</v>
      </c>
      <c r="C164" s="1">
        <v>1</v>
      </c>
      <c r="D164" s="2">
        <v>43461</v>
      </c>
      <c r="E164" s="2">
        <v>43482</v>
      </c>
      <c r="F164" s="4">
        <v>194.36</v>
      </c>
      <c r="G164" s="4">
        <v>48.98</v>
      </c>
      <c r="H164" s="4">
        <v>145.38</v>
      </c>
      <c r="I164" s="1" t="s">
        <v>11</v>
      </c>
    </row>
    <row r="165" spans="1:9" x14ac:dyDescent="0.45">
      <c r="A165" s="1" t="s">
        <v>204</v>
      </c>
      <c r="B165" s="1" t="s">
        <v>205</v>
      </c>
      <c r="C165" s="1">
        <v>1</v>
      </c>
      <c r="D165" s="2">
        <v>43472</v>
      </c>
      <c r="E165" s="2">
        <v>43475</v>
      </c>
      <c r="F165" s="4">
        <v>324.36</v>
      </c>
      <c r="G165" s="4">
        <v>36.979999999999997</v>
      </c>
      <c r="H165" s="4">
        <v>287.38</v>
      </c>
      <c r="I165" s="1" t="s">
        <v>11</v>
      </c>
    </row>
    <row r="166" spans="1:9" x14ac:dyDescent="0.45">
      <c r="A166" s="1" t="s">
        <v>234</v>
      </c>
      <c r="B166" s="1" t="s">
        <v>235</v>
      </c>
      <c r="C166" s="1">
        <v>1</v>
      </c>
      <c r="D166" s="2">
        <v>43472</v>
      </c>
      <c r="E166" s="2">
        <v>43472</v>
      </c>
      <c r="F166" s="4">
        <v>329.31</v>
      </c>
      <c r="G166" s="4">
        <v>330.63</v>
      </c>
      <c r="H166" s="4">
        <v>-1.32</v>
      </c>
      <c r="I166" s="1" t="s">
        <v>11</v>
      </c>
    </row>
    <row r="167" spans="1:9" x14ac:dyDescent="0.45">
      <c r="A167" s="1" t="s">
        <v>236</v>
      </c>
      <c r="B167" s="1" t="s">
        <v>237</v>
      </c>
      <c r="C167" s="1">
        <v>1</v>
      </c>
      <c r="D167" s="2">
        <v>43472</v>
      </c>
      <c r="E167" s="2">
        <v>43472</v>
      </c>
      <c r="F167" s="4">
        <v>15.01</v>
      </c>
      <c r="G167" s="4">
        <v>37.979999999999997</v>
      </c>
      <c r="H167" s="4">
        <v>-22.97</v>
      </c>
      <c r="I167" s="1" t="s">
        <v>11</v>
      </c>
    </row>
    <row r="168" spans="1:9" x14ac:dyDescent="0.45">
      <c r="A168" s="1" t="s">
        <v>232</v>
      </c>
      <c r="B168" s="1" t="s">
        <v>233</v>
      </c>
      <c r="C168" s="1">
        <v>3</v>
      </c>
      <c r="D168" s="2">
        <v>43460</v>
      </c>
      <c r="E168" s="2">
        <v>43469</v>
      </c>
      <c r="F168" s="4">
        <v>367.99</v>
      </c>
      <c r="G168" s="4">
        <v>0</v>
      </c>
      <c r="H168" s="4">
        <v>367.99</v>
      </c>
      <c r="I168" s="1" t="s">
        <v>11</v>
      </c>
    </row>
    <row r="169" spans="1:9" x14ac:dyDescent="0.45">
      <c r="H169" s="4" t="e">
        <f>SUM(#REF!)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workbookViewId="0">
      <selection activeCell="B29" sqref="B29"/>
    </sheetView>
  </sheetViews>
  <sheetFormatPr defaultRowHeight="14.25" x14ac:dyDescent="0.45"/>
  <cols>
    <col min="1" max="1" width="34.6640625" style="1" customWidth="1"/>
    <col min="2" max="2" width="72.265625" style="1" customWidth="1"/>
    <col min="3" max="3" width="7.6640625" style="1" bestFit="1" customWidth="1"/>
    <col min="4" max="4" width="11.9296875" style="1" bestFit="1" customWidth="1"/>
    <col min="5" max="5" width="9.19921875" style="1" bestFit="1" customWidth="1"/>
    <col min="6" max="7" width="11.265625" style="1" bestFit="1" customWidth="1"/>
    <col min="8" max="8" width="17.6640625" style="1" bestFit="1" customWidth="1"/>
    <col min="9" max="9" width="0" style="1" hidden="1" customWidth="1"/>
    <col min="10" max="10" width="9.265625" style="1" bestFit="1" customWidth="1"/>
    <col min="11" max="16384" width="9.06640625" style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 t="s">
        <v>34</v>
      </c>
      <c r="B2" s="1" t="s">
        <v>35</v>
      </c>
      <c r="C2" s="1">
        <v>1</v>
      </c>
      <c r="D2" s="2">
        <v>43626</v>
      </c>
      <c r="E2" s="2">
        <v>43637</v>
      </c>
      <c r="F2" s="4">
        <v>0</v>
      </c>
      <c r="G2" s="4">
        <v>1217.6400000000001</v>
      </c>
      <c r="H2" s="4">
        <v>-1217.6400000000001</v>
      </c>
      <c r="I2" s="1" t="s">
        <v>11</v>
      </c>
    </row>
    <row r="3" spans="1:9" x14ac:dyDescent="0.45">
      <c r="A3" s="1" t="s">
        <v>38</v>
      </c>
      <c r="B3" s="1" t="s">
        <v>39</v>
      </c>
      <c r="C3" s="1">
        <v>1</v>
      </c>
      <c r="D3" s="2">
        <v>43626</v>
      </c>
      <c r="E3" s="2">
        <v>43637</v>
      </c>
      <c r="F3" s="4">
        <v>0</v>
      </c>
      <c r="G3" s="4">
        <v>2155.64</v>
      </c>
      <c r="H3" s="4">
        <v>-2155.64</v>
      </c>
      <c r="I3" s="1" t="s">
        <v>11</v>
      </c>
    </row>
    <row r="4" spans="1:9" x14ac:dyDescent="0.45">
      <c r="A4" s="1" t="s">
        <v>38</v>
      </c>
      <c r="B4" s="1" t="s">
        <v>39</v>
      </c>
      <c r="C4" s="1">
        <v>4</v>
      </c>
      <c r="D4" s="2">
        <v>43627</v>
      </c>
      <c r="E4" s="2">
        <v>43637</v>
      </c>
      <c r="F4" s="4">
        <v>0</v>
      </c>
      <c r="G4" s="4">
        <v>1111.71</v>
      </c>
      <c r="H4" s="4">
        <v>-1111.71</v>
      </c>
      <c r="I4" s="1" t="s">
        <v>11</v>
      </c>
    </row>
    <row r="5" spans="1:9" x14ac:dyDescent="0.45">
      <c r="A5" s="1" t="s">
        <v>38</v>
      </c>
      <c r="B5" s="1" t="s">
        <v>39</v>
      </c>
      <c r="C5" s="1">
        <v>1</v>
      </c>
      <c r="D5" s="2">
        <v>43630</v>
      </c>
      <c r="E5" s="2">
        <v>43637</v>
      </c>
      <c r="F5" s="4">
        <v>0</v>
      </c>
      <c r="G5" s="4">
        <v>281.64</v>
      </c>
      <c r="H5" s="4">
        <v>-281.64</v>
      </c>
      <c r="I5" s="1" t="s">
        <v>11</v>
      </c>
    </row>
    <row r="6" spans="1:9" x14ac:dyDescent="0.45">
      <c r="A6" s="1" t="s">
        <v>136</v>
      </c>
      <c r="B6" s="1" t="s">
        <v>137</v>
      </c>
      <c r="C6" s="1">
        <v>20</v>
      </c>
      <c r="D6" s="2">
        <v>43627</v>
      </c>
      <c r="E6" s="2">
        <v>43637</v>
      </c>
      <c r="F6" s="4">
        <v>0</v>
      </c>
      <c r="G6" s="4">
        <v>1018.73</v>
      </c>
      <c r="H6" s="4">
        <v>-1018.73</v>
      </c>
      <c r="I6" s="1" t="s">
        <v>11</v>
      </c>
    </row>
    <row r="7" spans="1:9" x14ac:dyDescent="0.45">
      <c r="A7" s="1" t="s">
        <v>260</v>
      </c>
      <c r="B7" s="1" t="s">
        <v>261</v>
      </c>
      <c r="C7" s="1">
        <v>10</v>
      </c>
      <c r="D7" s="2">
        <v>43572</v>
      </c>
      <c r="E7" s="2">
        <v>43637</v>
      </c>
      <c r="F7" s="4">
        <v>0</v>
      </c>
      <c r="G7" s="4">
        <v>1241.8399999999999</v>
      </c>
      <c r="H7" s="4">
        <v>-1241.8399999999999</v>
      </c>
      <c r="I7" s="1" t="s">
        <v>11</v>
      </c>
    </row>
    <row r="8" spans="1:9" x14ac:dyDescent="0.45">
      <c r="A8" s="1" t="s">
        <v>130</v>
      </c>
      <c r="B8" s="1" t="s">
        <v>131</v>
      </c>
      <c r="C8" s="1">
        <v>5</v>
      </c>
      <c r="D8" s="2">
        <v>43622</v>
      </c>
      <c r="E8" s="2">
        <v>43636</v>
      </c>
      <c r="F8" s="4">
        <v>541.59</v>
      </c>
      <c r="G8" s="4">
        <v>468.39</v>
      </c>
      <c r="H8" s="4">
        <v>73.2</v>
      </c>
      <c r="I8" s="1" t="s">
        <v>11</v>
      </c>
    </row>
    <row r="9" spans="1:9" x14ac:dyDescent="0.45">
      <c r="A9" s="1" t="s">
        <v>26</v>
      </c>
      <c r="B9" s="1" t="s">
        <v>27</v>
      </c>
      <c r="C9" s="1">
        <v>3</v>
      </c>
      <c r="D9" s="2">
        <v>43613</v>
      </c>
      <c r="E9" s="2">
        <v>43635</v>
      </c>
      <c r="F9" s="4">
        <v>1378.95</v>
      </c>
      <c r="G9" s="4">
        <v>824.07</v>
      </c>
      <c r="H9" s="4">
        <v>554.88</v>
      </c>
      <c r="I9" s="1" t="s">
        <v>11</v>
      </c>
    </row>
    <row r="10" spans="1:9" x14ac:dyDescent="0.45">
      <c r="A10" s="1" t="s">
        <v>40</v>
      </c>
      <c r="B10" s="1" t="s">
        <v>41</v>
      </c>
      <c r="C10" s="1">
        <v>2</v>
      </c>
      <c r="D10" s="2">
        <v>43630</v>
      </c>
      <c r="E10" s="2">
        <v>43635</v>
      </c>
      <c r="F10" s="4">
        <v>396.96</v>
      </c>
      <c r="G10" s="4">
        <v>316.33</v>
      </c>
      <c r="H10" s="4">
        <v>80.63</v>
      </c>
      <c r="I10" s="1" t="s">
        <v>11</v>
      </c>
    </row>
    <row r="11" spans="1:9" x14ac:dyDescent="0.45">
      <c r="A11" s="1" t="s">
        <v>40</v>
      </c>
      <c r="B11" s="1" t="s">
        <v>41</v>
      </c>
      <c r="C11" s="1">
        <v>4</v>
      </c>
      <c r="D11" s="2">
        <v>43630</v>
      </c>
      <c r="E11" s="2">
        <v>43635</v>
      </c>
      <c r="F11" s="4">
        <v>793.93</v>
      </c>
      <c r="G11" s="4">
        <v>606.71</v>
      </c>
      <c r="H11" s="4">
        <v>187.22</v>
      </c>
      <c r="I11" s="1" t="s">
        <v>11</v>
      </c>
    </row>
    <row r="12" spans="1:9" x14ac:dyDescent="0.45">
      <c r="A12" s="1" t="s">
        <v>40</v>
      </c>
      <c r="B12" s="1" t="s">
        <v>41</v>
      </c>
      <c r="C12" s="1">
        <v>1</v>
      </c>
      <c r="D12" s="2">
        <v>43630</v>
      </c>
      <c r="E12" s="2">
        <v>43635</v>
      </c>
      <c r="F12" s="4">
        <v>193.3</v>
      </c>
      <c r="G12" s="4">
        <v>151.68</v>
      </c>
      <c r="H12" s="4">
        <v>41.62</v>
      </c>
      <c r="I12" s="1" t="s">
        <v>11</v>
      </c>
    </row>
    <row r="13" spans="1:9" x14ac:dyDescent="0.45">
      <c r="A13" s="1" t="s">
        <v>192</v>
      </c>
      <c r="B13" s="1" t="s">
        <v>193</v>
      </c>
      <c r="C13" s="1">
        <v>2</v>
      </c>
      <c r="D13" s="2">
        <v>43633</v>
      </c>
      <c r="E13" s="2">
        <v>43635</v>
      </c>
      <c r="F13" s="4">
        <v>548.6</v>
      </c>
      <c r="G13" s="4">
        <v>504.33</v>
      </c>
      <c r="H13" s="4">
        <v>44.27</v>
      </c>
      <c r="I13" s="1" t="s">
        <v>11</v>
      </c>
    </row>
    <row r="14" spans="1:9" x14ac:dyDescent="0.45">
      <c r="A14" s="1" t="s">
        <v>28</v>
      </c>
      <c r="B14" s="1" t="s">
        <v>29</v>
      </c>
      <c r="C14" s="1">
        <v>3</v>
      </c>
      <c r="D14" s="2">
        <v>43613</v>
      </c>
      <c r="E14" s="2">
        <v>43630</v>
      </c>
      <c r="F14" s="4">
        <v>1225.95</v>
      </c>
      <c r="G14" s="4">
        <v>787.02</v>
      </c>
      <c r="H14" s="4">
        <v>438.93</v>
      </c>
      <c r="I14" s="1" t="s">
        <v>11</v>
      </c>
    </row>
    <row r="15" spans="1:9" x14ac:dyDescent="0.45">
      <c r="A15" s="1" t="s">
        <v>194</v>
      </c>
      <c r="B15" s="1" t="s">
        <v>195</v>
      </c>
      <c r="C15" s="1">
        <v>50</v>
      </c>
      <c r="D15" s="2">
        <v>43626</v>
      </c>
      <c r="E15" s="2">
        <v>43630</v>
      </c>
      <c r="F15" s="4">
        <v>2066.7600000000002</v>
      </c>
      <c r="G15" s="4">
        <v>2009.73</v>
      </c>
      <c r="H15" s="4">
        <v>57.03</v>
      </c>
      <c r="I15" s="1" t="s">
        <v>11</v>
      </c>
    </row>
    <row r="16" spans="1:9" x14ac:dyDescent="0.45">
      <c r="A16" s="1" t="s">
        <v>36</v>
      </c>
      <c r="B16" s="1" t="s">
        <v>37</v>
      </c>
      <c r="C16" s="1">
        <v>1</v>
      </c>
      <c r="D16" s="2">
        <v>43626</v>
      </c>
      <c r="E16" s="2">
        <v>43627</v>
      </c>
      <c r="F16" s="4">
        <v>752.29</v>
      </c>
      <c r="G16" s="4">
        <v>353.64</v>
      </c>
      <c r="H16" s="4">
        <v>398.65</v>
      </c>
      <c r="I16" s="1" t="s">
        <v>11</v>
      </c>
    </row>
    <row r="17" spans="1:9" x14ac:dyDescent="0.45">
      <c r="A17" s="1" t="s">
        <v>72</v>
      </c>
      <c r="B17" s="1" t="s">
        <v>73</v>
      </c>
      <c r="C17" s="1">
        <v>1</v>
      </c>
      <c r="D17" s="2">
        <v>43622</v>
      </c>
      <c r="E17" s="2">
        <v>43627</v>
      </c>
      <c r="F17" s="4">
        <v>484.34</v>
      </c>
      <c r="G17" s="4">
        <v>466.64</v>
      </c>
      <c r="H17" s="4">
        <v>17.7</v>
      </c>
      <c r="I17" s="1" t="s">
        <v>11</v>
      </c>
    </row>
    <row r="18" spans="1:9" x14ac:dyDescent="0.45">
      <c r="A18" s="1" t="s">
        <v>138</v>
      </c>
      <c r="B18" s="1" t="s">
        <v>139</v>
      </c>
      <c r="C18" s="1">
        <v>20</v>
      </c>
      <c r="D18" s="2">
        <v>43622</v>
      </c>
      <c r="E18" s="2">
        <v>43627</v>
      </c>
      <c r="F18" s="4">
        <v>1721.23</v>
      </c>
      <c r="G18" s="4">
        <v>598.73</v>
      </c>
      <c r="H18" s="4">
        <v>1122.5</v>
      </c>
      <c r="I18" s="1" t="s">
        <v>11</v>
      </c>
    </row>
    <row r="19" spans="1:9" x14ac:dyDescent="0.45">
      <c r="A19" s="1" t="s">
        <v>134</v>
      </c>
      <c r="B19" s="1" t="s">
        <v>135</v>
      </c>
      <c r="C19" s="1">
        <v>10</v>
      </c>
      <c r="D19" s="2">
        <v>43607</v>
      </c>
      <c r="E19" s="2">
        <v>43626</v>
      </c>
      <c r="F19" s="4">
        <v>851.44</v>
      </c>
      <c r="G19" s="4">
        <v>551.84</v>
      </c>
      <c r="H19" s="4">
        <v>299.60000000000002</v>
      </c>
      <c r="I19" s="1" t="s">
        <v>11</v>
      </c>
    </row>
    <row r="20" spans="1:9" x14ac:dyDescent="0.45">
      <c r="A20" s="1" t="s">
        <v>134</v>
      </c>
      <c r="B20" s="1" t="s">
        <v>135</v>
      </c>
      <c r="C20" s="1">
        <v>10</v>
      </c>
      <c r="D20" s="2">
        <v>43608</v>
      </c>
      <c r="E20" s="2">
        <v>43626</v>
      </c>
      <c r="F20" s="4">
        <v>851.44</v>
      </c>
      <c r="G20" s="4">
        <v>471.84</v>
      </c>
      <c r="H20" s="4">
        <v>379.6</v>
      </c>
      <c r="I20" s="1" t="s">
        <v>11</v>
      </c>
    </row>
    <row r="21" spans="1:9" x14ac:dyDescent="0.45">
      <c r="A21" s="1" t="s">
        <v>134</v>
      </c>
      <c r="B21" s="1" t="s">
        <v>135</v>
      </c>
      <c r="C21" s="1">
        <v>10</v>
      </c>
      <c r="D21" s="2">
        <v>43622</v>
      </c>
      <c r="E21" s="2">
        <v>43626</v>
      </c>
      <c r="F21" s="4">
        <v>851.45</v>
      </c>
      <c r="G21" s="4">
        <v>806.89</v>
      </c>
      <c r="H21" s="4">
        <v>44.56</v>
      </c>
      <c r="I21" s="1" t="s">
        <v>11</v>
      </c>
    </row>
    <row r="22" spans="1:9" x14ac:dyDescent="0.45">
      <c r="A22" s="1" t="s">
        <v>122</v>
      </c>
      <c r="B22" s="1" t="s">
        <v>123</v>
      </c>
      <c r="C22" s="1">
        <v>600</v>
      </c>
      <c r="D22" s="2">
        <v>43588</v>
      </c>
      <c r="E22" s="2">
        <v>43622</v>
      </c>
      <c r="F22" s="4">
        <v>5198.9799999999996</v>
      </c>
      <c r="G22" s="4">
        <v>4497.47</v>
      </c>
      <c r="H22" s="4">
        <v>701.51</v>
      </c>
      <c r="I22" s="1" t="s">
        <v>11</v>
      </c>
    </row>
    <row r="23" spans="1:9" x14ac:dyDescent="0.45">
      <c r="A23" s="1" t="s">
        <v>122</v>
      </c>
      <c r="B23" s="1" t="s">
        <v>123</v>
      </c>
      <c r="C23" s="1">
        <v>200</v>
      </c>
      <c r="D23" s="2">
        <v>43588</v>
      </c>
      <c r="E23" s="2">
        <v>43622</v>
      </c>
      <c r="F23" s="4">
        <v>1735</v>
      </c>
      <c r="G23" s="4">
        <v>1499.16</v>
      </c>
      <c r="H23" s="4">
        <v>235.84</v>
      </c>
      <c r="I23" s="1" t="s">
        <v>11</v>
      </c>
    </row>
    <row r="24" spans="1:9" x14ac:dyDescent="0.45">
      <c r="A24" s="1" t="s">
        <v>122</v>
      </c>
      <c r="B24" s="1" t="s">
        <v>123</v>
      </c>
      <c r="C24" s="1">
        <v>200</v>
      </c>
      <c r="D24" s="2">
        <v>43588</v>
      </c>
      <c r="E24" s="2">
        <v>43622</v>
      </c>
      <c r="F24" s="4">
        <v>1733.96</v>
      </c>
      <c r="G24" s="4">
        <v>1499.15</v>
      </c>
      <c r="H24" s="4">
        <v>234.81</v>
      </c>
      <c r="I24" s="1" t="s">
        <v>11</v>
      </c>
    </row>
    <row r="25" spans="1:9" x14ac:dyDescent="0.45">
      <c r="A25" s="1" t="s">
        <v>128</v>
      </c>
      <c r="B25" s="1" t="s">
        <v>129</v>
      </c>
      <c r="C25" s="1">
        <v>7</v>
      </c>
      <c r="D25" s="2">
        <v>43619</v>
      </c>
      <c r="E25" s="2">
        <v>43622</v>
      </c>
      <c r="F25" s="4">
        <v>128.32</v>
      </c>
      <c r="G25" s="4">
        <v>101.74</v>
      </c>
      <c r="H25" s="4">
        <v>26.58</v>
      </c>
      <c r="I25" s="1" t="s">
        <v>11</v>
      </c>
    </row>
    <row r="26" spans="1:9" x14ac:dyDescent="0.45">
      <c r="A26" s="1" t="s">
        <v>128</v>
      </c>
      <c r="B26" s="1" t="s">
        <v>129</v>
      </c>
      <c r="C26" s="1">
        <v>3</v>
      </c>
      <c r="D26" s="2">
        <v>43619</v>
      </c>
      <c r="E26" s="2">
        <v>43622</v>
      </c>
      <c r="F26" s="4">
        <v>48.92</v>
      </c>
      <c r="G26" s="4">
        <v>43.6</v>
      </c>
      <c r="H26" s="4">
        <v>5.32</v>
      </c>
      <c r="I26" s="1" t="s">
        <v>11</v>
      </c>
    </row>
    <row r="27" spans="1:9" x14ac:dyDescent="0.45">
      <c r="A27" s="1" t="s">
        <v>74</v>
      </c>
      <c r="B27" s="1" t="s">
        <v>75</v>
      </c>
      <c r="C27" s="1">
        <v>5</v>
      </c>
      <c r="D27" s="2">
        <v>43571</v>
      </c>
      <c r="E27" s="2">
        <v>43616</v>
      </c>
      <c r="F27" s="4">
        <v>0</v>
      </c>
      <c r="G27" s="4">
        <v>743.39</v>
      </c>
      <c r="H27" s="4">
        <v>-743.39</v>
      </c>
      <c r="I27" s="1" t="s">
        <v>11</v>
      </c>
    </row>
    <row r="28" spans="1:9" x14ac:dyDescent="0.45">
      <c r="A28" s="1" t="s">
        <v>74</v>
      </c>
      <c r="B28" s="1" t="s">
        <v>75</v>
      </c>
      <c r="C28" s="1">
        <v>5</v>
      </c>
      <c r="D28" s="2">
        <v>43586</v>
      </c>
      <c r="E28" s="2">
        <v>43616</v>
      </c>
      <c r="F28" s="4">
        <v>0</v>
      </c>
      <c r="G28" s="4">
        <v>558.39</v>
      </c>
      <c r="H28" s="4">
        <v>-558.39</v>
      </c>
      <c r="I28" s="1" t="s">
        <v>11</v>
      </c>
    </row>
    <row r="29" spans="1:9" x14ac:dyDescent="0.45">
      <c r="A29" s="1" t="s">
        <v>120</v>
      </c>
      <c r="B29" s="1" t="s">
        <v>121</v>
      </c>
      <c r="C29" s="1">
        <v>5</v>
      </c>
      <c r="D29" s="2">
        <v>43580</v>
      </c>
      <c r="E29" s="2">
        <v>43609</v>
      </c>
      <c r="F29" s="4">
        <v>0</v>
      </c>
      <c r="G29" s="4">
        <v>633.39</v>
      </c>
      <c r="H29" s="4">
        <v>-633.39</v>
      </c>
      <c r="I29" s="1" t="s">
        <v>11</v>
      </c>
    </row>
    <row r="30" spans="1:9" x14ac:dyDescent="0.45">
      <c r="A30" s="1" t="s">
        <v>120</v>
      </c>
      <c r="B30" s="1" t="s">
        <v>121</v>
      </c>
      <c r="C30" s="1">
        <v>15</v>
      </c>
      <c r="D30" s="2">
        <v>43584</v>
      </c>
      <c r="E30" s="2">
        <v>43609</v>
      </c>
      <c r="F30" s="4">
        <v>0</v>
      </c>
      <c r="G30" s="4">
        <v>390.28</v>
      </c>
      <c r="H30" s="4">
        <v>-390.28</v>
      </c>
      <c r="I30" s="1" t="s">
        <v>11</v>
      </c>
    </row>
    <row r="31" spans="1:9" x14ac:dyDescent="0.45">
      <c r="A31" s="1" t="s">
        <v>120</v>
      </c>
      <c r="B31" s="1" t="s">
        <v>121</v>
      </c>
      <c r="C31" s="1">
        <v>10</v>
      </c>
      <c r="D31" s="2">
        <v>43593</v>
      </c>
      <c r="E31" s="2">
        <v>43609</v>
      </c>
      <c r="F31" s="4">
        <v>0</v>
      </c>
      <c r="G31" s="4">
        <v>281.83999999999997</v>
      </c>
      <c r="H31" s="4">
        <v>-281.83999999999997</v>
      </c>
      <c r="I31" s="1" t="s">
        <v>11</v>
      </c>
    </row>
    <row r="32" spans="1:9" x14ac:dyDescent="0.45">
      <c r="A32" s="1" t="s">
        <v>126</v>
      </c>
      <c r="B32" s="1" t="s">
        <v>127</v>
      </c>
      <c r="C32" s="1">
        <v>5</v>
      </c>
      <c r="D32" s="2">
        <v>43577</v>
      </c>
      <c r="E32" s="2">
        <v>43609</v>
      </c>
      <c r="F32" s="4">
        <v>0</v>
      </c>
      <c r="G32" s="4">
        <v>258.39</v>
      </c>
      <c r="H32" s="4">
        <v>-258.39</v>
      </c>
      <c r="I32" s="1" t="s">
        <v>11</v>
      </c>
    </row>
    <row r="33" spans="1:9" x14ac:dyDescent="0.45">
      <c r="A33" s="1" t="s">
        <v>126</v>
      </c>
      <c r="B33" s="1" t="s">
        <v>127</v>
      </c>
      <c r="C33" s="1">
        <v>5</v>
      </c>
      <c r="D33" s="2">
        <v>43577</v>
      </c>
      <c r="E33" s="2">
        <v>43609</v>
      </c>
      <c r="F33" s="4">
        <v>0</v>
      </c>
      <c r="G33" s="4">
        <v>228.39</v>
      </c>
      <c r="H33" s="4">
        <v>-228.39</v>
      </c>
      <c r="I33" s="1" t="s">
        <v>11</v>
      </c>
    </row>
    <row r="34" spans="1:9" x14ac:dyDescent="0.45">
      <c r="A34" s="1" t="s">
        <v>126</v>
      </c>
      <c r="B34" s="1" t="s">
        <v>127</v>
      </c>
      <c r="C34" s="1">
        <v>5</v>
      </c>
      <c r="D34" s="2">
        <v>43579</v>
      </c>
      <c r="E34" s="2">
        <v>43609</v>
      </c>
      <c r="F34" s="4">
        <v>0</v>
      </c>
      <c r="G34" s="4">
        <v>208.39</v>
      </c>
      <c r="H34" s="4">
        <v>-208.39</v>
      </c>
      <c r="I34" s="1" t="s">
        <v>11</v>
      </c>
    </row>
    <row r="35" spans="1:9" x14ac:dyDescent="0.45">
      <c r="A35" s="1" t="s">
        <v>176</v>
      </c>
      <c r="B35" s="1" t="s">
        <v>177</v>
      </c>
      <c r="C35" s="1">
        <v>5</v>
      </c>
      <c r="D35" s="2">
        <v>43586</v>
      </c>
      <c r="E35" s="2">
        <v>43609</v>
      </c>
      <c r="F35" s="4">
        <v>2666.55</v>
      </c>
      <c r="G35" s="4">
        <v>1978.39</v>
      </c>
      <c r="H35" s="4">
        <v>688.16</v>
      </c>
      <c r="I35" s="1" t="s">
        <v>11</v>
      </c>
    </row>
    <row r="36" spans="1:9" x14ac:dyDescent="0.45">
      <c r="A36" s="1" t="s">
        <v>158</v>
      </c>
      <c r="B36" s="1" t="s">
        <v>159</v>
      </c>
      <c r="C36" s="1">
        <v>5</v>
      </c>
      <c r="D36" s="2">
        <v>43594</v>
      </c>
      <c r="E36" s="2">
        <v>43608</v>
      </c>
      <c r="F36" s="4">
        <v>591.59</v>
      </c>
      <c r="G36" s="4">
        <v>483.39</v>
      </c>
      <c r="H36" s="4">
        <v>108.2</v>
      </c>
      <c r="I36" s="1" t="s">
        <v>11</v>
      </c>
    </row>
    <row r="37" spans="1:9" x14ac:dyDescent="0.45">
      <c r="A37" s="1" t="s">
        <v>124</v>
      </c>
      <c r="B37" s="1" t="s">
        <v>125</v>
      </c>
      <c r="C37" s="1">
        <v>1</v>
      </c>
      <c r="D37" s="2">
        <v>43573</v>
      </c>
      <c r="E37" s="2">
        <v>43602</v>
      </c>
      <c r="F37" s="4">
        <v>0</v>
      </c>
      <c r="G37" s="4">
        <v>84.99</v>
      </c>
      <c r="H37" s="4">
        <v>-84.99</v>
      </c>
      <c r="I37" s="1" t="s">
        <v>11</v>
      </c>
    </row>
    <row r="38" spans="1:9" x14ac:dyDescent="0.45">
      <c r="A38" s="1" t="s">
        <v>124</v>
      </c>
      <c r="B38" s="1" t="s">
        <v>125</v>
      </c>
      <c r="C38" s="1">
        <v>4</v>
      </c>
      <c r="D38" s="2">
        <v>43573</v>
      </c>
      <c r="E38" s="2">
        <v>43602</v>
      </c>
      <c r="F38" s="4">
        <v>0</v>
      </c>
      <c r="G38" s="4">
        <v>327.41000000000003</v>
      </c>
      <c r="H38" s="4">
        <v>-327.41000000000003</v>
      </c>
      <c r="I38" s="1" t="s">
        <v>11</v>
      </c>
    </row>
    <row r="39" spans="1:9" x14ac:dyDescent="0.45">
      <c r="A39" s="1" t="s">
        <v>124</v>
      </c>
      <c r="B39" s="1" t="s">
        <v>125</v>
      </c>
      <c r="C39" s="1">
        <v>5</v>
      </c>
      <c r="D39" s="2">
        <v>43577</v>
      </c>
      <c r="E39" s="2">
        <v>43602</v>
      </c>
      <c r="F39" s="4">
        <v>0</v>
      </c>
      <c r="G39" s="4">
        <v>243.39</v>
      </c>
      <c r="H39" s="4">
        <v>-243.39</v>
      </c>
      <c r="I39" s="1" t="s">
        <v>11</v>
      </c>
    </row>
    <row r="40" spans="1:9" x14ac:dyDescent="0.45">
      <c r="A40" s="1" t="s">
        <v>124</v>
      </c>
      <c r="B40" s="1" t="s">
        <v>125</v>
      </c>
      <c r="C40" s="1">
        <v>2</v>
      </c>
      <c r="D40" s="2">
        <v>43598</v>
      </c>
      <c r="E40" s="2">
        <v>43602</v>
      </c>
      <c r="F40" s="4">
        <v>0</v>
      </c>
      <c r="G40" s="4">
        <v>27.03</v>
      </c>
      <c r="H40" s="4">
        <v>-27.03</v>
      </c>
      <c r="I40" s="1" t="s">
        <v>11</v>
      </c>
    </row>
    <row r="41" spans="1:9" x14ac:dyDescent="0.45">
      <c r="A41" s="1" t="s">
        <v>124</v>
      </c>
      <c r="B41" s="1" t="s">
        <v>125</v>
      </c>
      <c r="C41" s="1">
        <v>8</v>
      </c>
      <c r="D41" s="2">
        <v>43598</v>
      </c>
      <c r="E41" s="2">
        <v>43602</v>
      </c>
      <c r="F41" s="4">
        <v>0</v>
      </c>
      <c r="G41" s="4">
        <v>88.86</v>
      </c>
      <c r="H41" s="4">
        <v>-88.86</v>
      </c>
      <c r="I41" s="1" t="s">
        <v>11</v>
      </c>
    </row>
    <row r="42" spans="1:9" x14ac:dyDescent="0.45">
      <c r="A42" s="1" t="s">
        <v>174</v>
      </c>
      <c r="B42" s="1" t="s">
        <v>175</v>
      </c>
      <c r="C42" s="1">
        <v>5</v>
      </c>
      <c r="D42" s="2">
        <v>43515</v>
      </c>
      <c r="E42" s="2">
        <v>43602</v>
      </c>
      <c r="F42" s="4">
        <v>0</v>
      </c>
      <c r="G42" s="4">
        <v>783.39</v>
      </c>
      <c r="H42" s="4">
        <v>-783.39</v>
      </c>
      <c r="I42" s="1" t="s">
        <v>11</v>
      </c>
    </row>
    <row r="43" spans="1:9" x14ac:dyDescent="0.45">
      <c r="A43" s="1" t="s">
        <v>174</v>
      </c>
      <c r="B43" s="1" t="s">
        <v>175</v>
      </c>
      <c r="C43" s="1">
        <v>3</v>
      </c>
      <c r="D43" s="2">
        <v>43592</v>
      </c>
      <c r="E43" s="2">
        <v>43602</v>
      </c>
      <c r="F43" s="4">
        <v>0</v>
      </c>
      <c r="G43" s="4">
        <v>367.02</v>
      </c>
      <c r="H43" s="4">
        <v>-367.02</v>
      </c>
      <c r="I43" s="1" t="s">
        <v>11</v>
      </c>
    </row>
    <row r="44" spans="1:9" x14ac:dyDescent="0.45">
      <c r="A44" s="1" t="s">
        <v>182</v>
      </c>
      <c r="B44" s="1" t="s">
        <v>183</v>
      </c>
      <c r="C44" s="1">
        <v>5</v>
      </c>
      <c r="D44" s="2">
        <v>43592</v>
      </c>
      <c r="E44" s="2">
        <v>43602</v>
      </c>
      <c r="F44" s="4">
        <v>0</v>
      </c>
      <c r="G44" s="4">
        <v>988.39</v>
      </c>
      <c r="H44" s="4">
        <v>-988.39</v>
      </c>
      <c r="I44" s="1" t="s">
        <v>11</v>
      </c>
    </row>
    <row r="45" spans="1:9" x14ac:dyDescent="0.45">
      <c r="A45" s="1" t="s">
        <v>184</v>
      </c>
      <c r="B45" s="1" t="s">
        <v>185</v>
      </c>
      <c r="C45" s="1">
        <v>2</v>
      </c>
      <c r="D45" s="2">
        <v>43586</v>
      </c>
      <c r="E45" s="2">
        <v>43602</v>
      </c>
      <c r="F45" s="4">
        <v>0</v>
      </c>
      <c r="G45" s="4">
        <v>342.33</v>
      </c>
      <c r="H45" s="4">
        <v>-342.33</v>
      </c>
      <c r="I45" s="1" t="s">
        <v>11</v>
      </c>
    </row>
    <row r="46" spans="1:9" x14ac:dyDescent="0.45">
      <c r="A46" s="1" t="s">
        <v>184</v>
      </c>
      <c r="B46" s="1" t="s">
        <v>185</v>
      </c>
      <c r="C46" s="1">
        <v>3</v>
      </c>
      <c r="D46" s="2">
        <v>43587</v>
      </c>
      <c r="E46" s="2">
        <v>43602</v>
      </c>
      <c r="F46" s="4">
        <v>0</v>
      </c>
      <c r="G46" s="4">
        <v>400.02</v>
      </c>
      <c r="H46" s="4">
        <v>-400.02</v>
      </c>
      <c r="I46" s="1" t="s">
        <v>11</v>
      </c>
    </row>
    <row r="47" spans="1:9" x14ac:dyDescent="0.45">
      <c r="A47" s="1" t="s">
        <v>184</v>
      </c>
      <c r="B47" s="1" t="s">
        <v>185</v>
      </c>
      <c r="C47" s="1">
        <v>5</v>
      </c>
      <c r="D47" s="2">
        <v>43593</v>
      </c>
      <c r="E47" s="2">
        <v>43602</v>
      </c>
      <c r="F47" s="4">
        <v>0</v>
      </c>
      <c r="G47" s="4">
        <v>120.94</v>
      </c>
      <c r="H47" s="4">
        <v>-120.94</v>
      </c>
      <c r="I47" s="1" t="s">
        <v>11</v>
      </c>
    </row>
    <row r="48" spans="1:9" x14ac:dyDescent="0.45">
      <c r="A48" s="1" t="s">
        <v>216</v>
      </c>
      <c r="B48" s="1" t="s">
        <v>217</v>
      </c>
      <c r="C48" s="1">
        <v>5</v>
      </c>
      <c r="D48" s="2">
        <v>43586</v>
      </c>
      <c r="E48" s="2">
        <v>43602</v>
      </c>
      <c r="F48" s="4">
        <v>0</v>
      </c>
      <c r="G48" s="4">
        <v>1583.39</v>
      </c>
      <c r="H48" s="4">
        <v>-1583.39</v>
      </c>
      <c r="I48" s="1" t="s">
        <v>11</v>
      </c>
    </row>
    <row r="49" spans="1:9" x14ac:dyDescent="0.45">
      <c r="A49" s="1" t="s">
        <v>216</v>
      </c>
      <c r="B49" s="1" t="s">
        <v>217</v>
      </c>
      <c r="C49" s="1">
        <v>10</v>
      </c>
      <c r="D49" s="2">
        <v>43591</v>
      </c>
      <c r="E49" s="2">
        <v>43602</v>
      </c>
      <c r="F49" s="4">
        <v>0</v>
      </c>
      <c r="G49" s="4">
        <v>511.84</v>
      </c>
      <c r="H49" s="4">
        <v>-511.84</v>
      </c>
      <c r="I49" s="1" t="s">
        <v>11</v>
      </c>
    </row>
    <row r="50" spans="1:9" x14ac:dyDescent="0.45">
      <c r="A50" s="1" t="s">
        <v>258</v>
      </c>
      <c r="B50" s="1" t="s">
        <v>259</v>
      </c>
      <c r="C50" s="1">
        <v>10</v>
      </c>
      <c r="D50" s="2">
        <v>43542</v>
      </c>
      <c r="E50" s="2">
        <v>43602</v>
      </c>
      <c r="F50" s="4">
        <v>0</v>
      </c>
      <c r="G50" s="4">
        <v>771.82</v>
      </c>
      <c r="H50" s="4">
        <v>-771.82</v>
      </c>
      <c r="I50" s="1" t="s">
        <v>11</v>
      </c>
    </row>
    <row r="51" spans="1:9" x14ac:dyDescent="0.45">
      <c r="A51" s="1" t="s">
        <v>258</v>
      </c>
      <c r="B51" s="1" t="s">
        <v>259</v>
      </c>
      <c r="C51" s="1">
        <v>10</v>
      </c>
      <c r="D51" s="2">
        <v>43586</v>
      </c>
      <c r="E51" s="2">
        <v>43602</v>
      </c>
      <c r="F51" s="4">
        <v>0</v>
      </c>
      <c r="G51" s="4">
        <v>261.83999999999997</v>
      </c>
      <c r="H51" s="4">
        <v>-261.83999999999997</v>
      </c>
      <c r="I51" s="1" t="s">
        <v>11</v>
      </c>
    </row>
    <row r="52" spans="1:9" x14ac:dyDescent="0.45">
      <c r="A52" s="1" t="s">
        <v>258</v>
      </c>
      <c r="B52" s="1" t="s">
        <v>259</v>
      </c>
      <c r="C52" s="1">
        <v>20</v>
      </c>
      <c r="D52" s="2">
        <v>43592</v>
      </c>
      <c r="E52" s="2">
        <v>43602</v>
      </c>
      <c r="F52" s="4">
        <v>0</v>
      </c>
      <c r="G52" s="4">
        <v>85.73</v>
      </c>
      <c r="H52" s="4">
        <v>-85.73</v>
      </c>
      <c r="I52" s="1" t="s">
        <v>11</v>
      </c>
    </row>
    <row r="53" spans="1:9" x14ac:dyDescent="0.45">
      <c r="A53" s="1" t="s">
        <v>114</v>
      </c>
      <c r="B53" s="1" t="s">
        <v>115</v>
      </c>
      <c r="C53" s="1">
        <v>1</v>
      </c>
      <c r="D53" s="2">
        <v>43578</v>
      </c>
      <c r="E53" s="2">
        <v>43593</v>
      </c>
      <c r="F53" s="4">
        <v>1184.6300000000001</v>
      </c>
      <c r="G53" s="4">
        <v>1155.69</v>
      </c>
      <c r="H53" s="4">
        <v>28.94</v>
      </c>
      <c r="I53" s="1" t="s">
        <v>11</v>
      </c>
    </row>
    <row r="54" spans="1:9" x14ac:dyDescent="0.45">
      <c r="A54" s="1" t="s">
        <v>114</v>
      </c>
      <c r="B54" s="1" t="s">
        <v>115</v>
      </c>
      <c r="C54" s="1">
        <v>2</v>
      </c>
      <c r="D54" s="2">
        <v>43587</v>
      </c>
      <c r="E54" s="2">
        <v>43593</v>
      </c>
      <c r="F54" s="4">
        <v>2369.27</v>
      </c>
      <c r="G54" s="4">
        <v>1606.33</v>
      </c>
      <c r="H54" s="4">
        <v>762.94</v>
      </c>
      <c r="I54" s="1" t="s">
        <v>11</v>
      </c>
    </row>
    <row r="55" spans="1:9" x14ac:dyDescent="0.45">
      <c r="A55" s="1" t="s">
        <v>252</v>
      </c>
      <c r="B55" s="1" t="s">
        <v>253</v>
      </c>
      <c r="C55" s="1">
        <v>1</v>
      </c>
      <c r="D55" s="2">
        <v>43523</v>
      </c>
      <c r="E55" s="2">
        <v>43592</v>
      </c>
      <c r="F55" s="4">
        <v>536.82000000000005</v>
      </c>
      <c r="G55" s="4">
        <v>455.64</v>
      </c>
      <c r="H55" s="4">
        <v>81.180000000000007</v>
      </c>
      <c r="I55" s="1" t="s">
        <v>11</v>
      </c>
    </row>
    <row r="56" spans="1:9" x14ac:dyDescent="0.45">
      <c r="A56" s="1" t="s">
        <v>252</v>
      </c>
      <c r="B56" s="1" t="s">
        <v>253</v>
      </c>
      <c r="C56" s="1">
        <v>1</v>
      </c>
      <c r="D56" s="2">
        <v>43586</v>
      </c>
      <c r="E56" s="2">
        <v>43592</v>
      </c>
      <c r="F56" s="4">
        <v>536.82000000000005</v>
      </c>
      <c r="G56" s="4">
        <v>385.64</v>
      </c>
      <c r="H56" s="4">
        <v>151.18</v>
      </c>
      <c r="I56" s="1" t="s">
        <v>11</v>
      </c>
    </row>
    <row r="57" spans="1:9" x14ac:dyDescent="0.45">
      <c r="A57" s="1" t="s">
        <v>186</v>
      </c>
      <c r="B57" s="1" t="s">
        <v>187</v>
      </c>
      <c r="C57" s="1">
        <v>5</v>
      </c>
      <c r="D57" s="2">
        <v>43570</v>
      </c>
      <c r="E57" s="2">
        <v>43591</v>
      </c>
      <c r="F57" s="4">
        <v>1741.57</v>
      </c>
      <c r="G57" s="4">
        <v>1498.39</v>
      </c>
      <c r="H57" s="4">
        <v>243.18</v>
      </c>
      <c r="I57" s="1" t="s">
        <v>11</v>
      </c>
    </row>
    <row r="58" spans="1:9" x14ac:dyDescent="0.45">
      <c r="A58" s="1" t="s">
        <v>188</v>
      </c>
      <c r="B58" s="1" t="s">
        <v>189</v>
      </c>
      <c r="C58" s="1">
        <v>5</v>
      </c>
      <c r="D58" s="2">
        <v>43570</v>
      </c>
      <c r="E58" s="2">
        <v>43587</v>
      </c>
      <c r="F58" s="4">
        <v>386.55</v>
      </c>
      <c r="G58" s="4">
        <v>363.39</v>
      </c>
      <c r="H58" s="4">
        <v>23.16</v>
      </c>
      <c r="I58" s="1" t="s">
        <v>11</v>
      </c>
    </row>
    <row r="59" spans="1:9" x14ac:dyDescent="0.45">
      <c r="A59" s="1" t="s">
        <v>218</v>
      </c>
      <c r="B59" s="1" t="s">
        <v>219</v>
      </c>
      <c r="C59" s="1">
        <v>5</v>
      </c>
      <c r="D59" s="2">
        <v>43586</v>
      </c>
      <c r="E59" s="2">
        <v>43587</v>
      </c>
      <c r="F59" s="4">
        <v>186.55</v>
      </c>
      <c r="G59" s="4">
        <v>30.19</v>
      </c>
      <c r="H59" s="4">
        <v>156.36000000000001</v>
      </c>
      <c r="I59" s="1" t="s">
        <v>11</v>
      </c>
    </row>
    <row r="60" spans="1:9" x14ac:dyDescent="0.45">
      <c r="A60" s="1" t="s">
        <v>256</v>
      </c>
      <c r="B60" s="1" t="s">
        <v>257</v>
      </c>
      <c r="C60" s="1">
        <v>10</v>
      </c>
      <c r="D60" s="2">
        <v>43537</v>
      </c>
      <c r="E60" s="2">
        <v>43587</v>
      </c>
      <c r="F60" s="4">
        <v>911.44</v>
      </c>
      <c r="G60" s="4">
        <v>426.87</v>
      </c>
      <c r="H60" s="4">
        <v>484.57</v>
      </c>
      <c r="I60" s="1" t="s">
        <v>11</v>
      </c>
    </row>
    <row r="61" spans="1:9" x14ac:dyDescent="0.45">
      <c r="A61" s="1" t="s">
        <v>256</v>
      </c>
      <c r="B61" s="1" t="s">
        <v>257</v>
      </c>
      <c r="C61" s="1">
        <v>10</v>
      </c>
      <c r="D61" s="2">
        <v>43567</v>
      </c>
      <c r="E61" s="2">
        <v>43587</v>
      </c>
      <c r="F61" s="4">
        <v>911.44</v>
      </c>
      <c r="G61" s="4">
        <v>681.84</v>
      </c>
      <c r="H61" s="4">
        <v>229.6</v>
      </c>
      <c r="I61" s="1" t="s">
        <v>11</v>
      </c>
    </row>
    <row r="62" spans="1:9" x14ac:dyDescent="0.45">
      <c r="A62" s="1" t="s">
        <v>256</v>
      </c>
      <c r="B62" s="1" t="s">
        <v>257</v>
      </c>
      <c r="C62" s="1">
        <v>10</v>
      </c>
      <c r="D62" s="2">
        <v>43570</v>
      </c>
      <c r="E62" s="2">
        <v>43587</v>
      </c>
      <c r="F62" s="4">
        <v>911.45</v>
      </c>
      <c r="G62" s="4">
        <v>551.84</v>
      </c>
      <c r="H62" s="4">
        <v>359.61</v>
      </c>
      <c r="I62" s="1" t="s">
        <v>11</v>
      </c>
    </row>
    <row r="63" spans="1:9" x14ac:dyDescent="0.45">
      <c r="A63" s="1" t="s">
        <v>76</v>
      </c>
      <c r="B63" s="1" t="s">
        <v>77</v>
      </c>
      <c r="C63" s="1">
        <v>5</v>
      </c>
      <c r="D63" s="2">
        <v>43571</v>
      </c>
      <c r="E63" s="2">
        <v>43586</v>
      </c>
      <c r="F63" s="4">
        <v>231.55</v>
      </c>
      <c r="G63" s="4">
        <v>95.14</v>
      </c>
      <c r="H63" s="4">
        <v>136.41</v>
      </c>
      <c r="I63" s="1" t="s">
        <v>11</v>
      </c>
    </row>
    <row r="64" spans="1:9" x14ac:dyDescent="0.45">
      <c r="A64" s="1" t="s">
        <v>90</v>
      </c>
      <c r="B64" s="1" t="s">
        <v>91</v>
      </c>
      <c r="C64" s="1">
        <v>2</v>
      </c>
      <c r="D64" s="2">
        <v>43543</v>
      </c>
      <c r="E64" s="2">
        <v>43586</v>
      </c>
      <c r="F64" s="4">
        <v>2443.61</v>
      </c>
      <c r="G64" s="4">
        <v>1368.32</v>
      </c>
      <c r="H64" s="4">
        <v>1075.29</v>
      </c>
      <c r="I64" s="1" t="s">
        <v>11</v>
      </c>
    </row>
    <row r="65" spans="1:9" x14ac:dyDescent="0.45">
      <c r="A65" s="1" t="s">
        <v>244</v>
      </c>
      <c r="B65" s="1" t="s">
        <v>245</v>
      </c>
      <c r="C65" s="1">
        <v>3</v>
      </c>
      <c r="D65" s="2">
        <v>43572</v>
      </c>
      <c r="E65" s="2">
        <v>43586</v>
      </c>
      <c r="F65" s="4">
        <v>3703.9</v>
      </c>
      <c r="G65" s="4">
        <v>2077.02</v>
      </c>
      <c r="H65" s="4">
        <v>1626.88</v>
      </c>
      <c r="I65" s="1" t="s">
        <v>11</v>
      </c>
    </row>
    <row r="66" spans="1:9" x14ac:dyDescent="0.45">
      <c r="A66" s="1" t="s">
        <v>86</v>
      </c>
      <c r="B66" s="1" t="s">
        <v>87</v>
      </c>
      <c r="C66" s="1">
        <v>2</v>
      </c>
      <c r="D66" s="2">
        <v>43579</v>
      </c>
      <c r="E66" s="2">
        <v>43581</v>
      </c>
      <c r="F66" s="4">
        <v>0</v>
      </c>
      <c r="G66" s="4">
        <v>896.33</v>
      </c>
      <c r="H66" s="4">
        <v>-896.33</v>
      </c>
      <c r="I66" s="1" t="s">
        <v>11</v>
      </c>
    </row>
    <row r="67" spans="1:9" x14ac:dyDescent="0.45">
      <c r="A67" s="1" t="s">
        <v>118</v>
      </c>
      <c r="B67" s="1" t="s">
        <v>119</v>
      </c>
      <c r="C67" s="1">
        <v>3</v>
      </c>
      <c r="D67" s="2">
        <v>43580</v>
      </c>
      <c r="E67" s="2">
        <v>43581</v>
      </c>
      <c r="F67" s="4">
        <v>0</v>
      </c>
      <c r="G67" s="4">
        <v>110.37</v>
      </c>
      <c r="H67" s="4">
        <v>-110.37</v>
      </c>
      <c r="I67" s="1" t="s">
        <v>11</v>
      </c>
    </row>
    <row r="68" spans="1:9" x14ac:dyDescent="0.45">
      <c r="A68" s="1" t="s">
        <v>112</v>
      </c>
      <c r="B68" s="1" t="s">
        <v>113</v>
      </c>
      <c r="C68" s="1">
        <v>1</v>
      </c>
      <c r="D68" s="2">
        <v>43572</v>
      </c>
      <c r="E68" s="2">
        <v>43578</v>
      </c>
      <c r="F68" s="4">
        <v>1549.32</v>
      </c>
      <c r="G68" s="4">
        <v>1005.64</v>
      </c>
      <c r="H68" s="4">
        <v>543.67999999999995</v>
      </c>
      <c r="I68" s="1" t="s">
        <v>11</v>
      </c>
    </row>
    <row r="69" spans="1:9" x14ac:dyDescent="0.45">
      <c r="A69" s="1" t="s">
        <v>70</v>
      </c>
      <c r="B69" s="1" t="s">
        <v>71</v>
      </c>
      <c r="C69" s="1">
        <v>5</v>
      </c>
      <c r="D69" s="2">
        <v>43537</v>
      </c>
      <c r="E69" s="2">
        <v>43577</v>
      </c>
      <c r="F69" s="4">
        <v>2591.5500000000002</v>
      </c>
      <c r="G69" s="4">
        <v>1368.39</v>
      </c>
      <c r="H69" s="4">
        <v>1223.1600000000001</v>
      </c>
      <c r="I69" s="1" t="s">
        <v>11</v>
      </c>
    </row>
    <row r="70" spans="1:9" x14ac:dyDescent="0.45">
      <c r="A70" s="1" t="s">
        <v>152</v>
      </c>
      <c r="B70" s="1" t="s">
        <v>153</v>
      </c>
      <c r="C70" s="1">
        <v>5</v>
      </c>
      <c r="D70" s="2">
        <v>43515</v>
      </c>
      <c r="E70" s="2">
        <v>43573</v>
      </c>
      <c r="F70" s="4">
        <v>0</v>
      </c>
      <c r="G70" s="4">
        <v>608.44000000000005</v>
      </c>
      <c r="H70" s="4">
        <v>-608.44000000000005</v>
      </c>
      <c r="I70" s="1" t="s">
        <v>11</v>
      </c>
    </row>
    <row r="71" spans="1:9" x14ac:dyDescent="0.45">
      <c r="A71" s="1" t="s">
        <v>152</v>
      </c>
      <c r="B71" s="1" t="s">
        <v>153</v>
      </c>
      <c r="C71" s="1">
        <v>5</v>
      </c>
      <c r="D71" s="2">
        <v>43536</v>
      </c>
      <c r="E71" s="2">
        <v>43573</v>
      </c>
      <c r="F71" s="4">
        <v>0</v>
      </c>
      <c r="G71" s="4">
        <v>233.44</v>
      </c>
      <c r="H71" s="4">
        <v>-233.44</v>
      </c>
      <c r="I71" s="1" t="s">
        <v>11</v>
      </c>
    </row>
    <row r="72" spans="1:9" x14ac:dyDescent="0.45">
      <c r="A72" s="1" t="s">
        <v>66</v>
      </c>
      <c r="B72" s="1" t="s">
        <v>67</v>
      </c>
      <c r="C72" s="1">
        <v>500</v>
      </c>
      <c r="D72" s="2">
        <v>43567</v>
      </c>
      <c r="E72" s="2">
        <v>43572</v>
      </c>
      <c r="F72" s="4">
        <v>9924.84</v>
      </c>
      <c r="G72" s="4">
        <v>8573.41</v>
      </c>
      <c r="H72" s="4">
        <v>1351.43</v>
      </c>
      <c r="I72" s="1" t="s">
        <v>11</v>
      </c>
    </row>
    <row r="73" spans="1:9" x14ac:dyDescent="0.45">
      <c r="A73" s="1" t="s">
        <v>140</v>
      </c>
      <c r="B73" s="1" t="s">
        <v>141</v>
      </c>
      <c r="C73" s="1">
        <v>100</v>
      </c>
      <c r="D73" s="2">
        <v>43508</v>
      </c>
      <c r="E73" s="2">
        <v>43570</v>
      </c>
      <c r="F73" s="4">
        <v>3804.39</v>
      </c>
      <c r="G73" s="4">
        <v>3924.28</v>
      </c>
      <c r="H73" s="4">
        <v>-119.89</v>
      </c>
      <c r="I73" s="1" t="s">
        <v>11</v>
      </c>
    </row>
    <row r="74" spans="1:9" x14ac:dyDescent="0.45">
      <c r="A74" s="1" t="s">
        <v>62</v>
      </c>
      <c r="B74" s="1" t="s">
        <v>63</v>
      </c>
      <c r="C74" s="1">
        <v>2</v>
      </c>
      <c r="D74" s="2">
        <v>43543</v>
      </c>
      <c r="E74" s="2">
        <v>43567</v>
      </c>
      <c r="F74" s="4">
        <v>3249.62</v>
      </c>
      <c r="G74" s="4">
        <v>610.32000000000005</v>
      </c>
      <c r="H74" s="4">
        <v>2639.3</v>
      </c>
      <c r="I74" s="1" t="s">
        <v>11</v>
      </c>
    </row>
    <row r="75" spans="1:9" x14ac:dyDescent="0.45">
      <c r="A75" s="1" t="s">
        <v>64</v>
      </c>
      <c r="B75" s="1" t="s">
        <v>65</v>
      </c>
      <c r="C75" s="1">
        <v>2</v>
      </c>
      <c r="D75" s="2">
        <v>43543</v>
      </c>
      <c r="E75" s="2">
        <v>43567</v>
      </c>
      <c r="F75" s="4">
        <v>262.62</v>
      </c>
      <c r="G75" s="4">
        <v>2471.38</v>
      </c>
      <c r="H75" s="4">
        <v>-2208.7600000000002</v>
      </c>
      <c r="I75" s="1" t="s">
        <v>11</v>
      </c>
    </row>
    <row r="76" spans="1:9" x14ac:dyDescent="0.45">
      <c r="A76" s="1" t="s">
        <v>156</v>
      </c>
      <c r="B76" s="1" t="s">
        <v>157</v>
      </c>
      <c r="C76" s="1">
        <v>5</v>
      </c>
      <c r="D76" s="2">
        <v>43515</v>
      </c>
      <c r="E76" s="2">
        <v>43567</v>
      </c>
      <c r="F76" s="4">
        <v>766.59</v>
      </c>
      <c r="G76" s="4">
        <v>770.92</v>
      </c>
      <c r="H76" s="4">
        <v>-4.33</v>
      </c>
      <c r="I76" s="1" t="s">
        <v>11</v>
      </c>
    </row>
    <row r="77" spans="1:9" x14ac:dyDescent="0.45">
      <c r="A77" s="1" t="s">
        <v>156</v>
      </c>
      <c r="B77" s="1" t="s">
        <v>157</v>
      </c>
      <c r="C77" s="1">
        <v>5</v>
      </c>
      <c r="D77" s="2">
        <v>43536</v>
      </c>
      <c r="E77" s="2">
        <v>43567</v>
      </c>
      <c r="F77" s="4">
        <v>911.59</v>
      </c>
      <c r="G77" s="4">
        <v>770.92</v>
      </c>
      <c r="H77" s="4">
        <v>140.66999999999999</v>
      </c>
      <c r="I77" s="1" t="s">
        <v>11</v>
      </c>
    </row>
    <row r="78" spans="1:9" x14ac:dyDescent="0.45">
      <c r="A78" s="1" t="s">
        <v>144</v>
      </c>
      <c r="B78" s="1" t="s">
        <v>145</v>
      </c>
      <c r="C78" s="1">
        <v>2</v>
      </c>
      <c r="D78" s="2">
        <v>43539</v>
      </c>
      <c r="E78" s="2">
        <v>43565</v>
      </c>
      <c r="F78" s="4">
        <v>273.66000000000003</v>
      </c>
      <c r="G78" s="4">
        <v>126.07</v>
      </c>
      <c r="H78" s="4">
        <v>147.59</v>
      </c>
      <c r="I78" s="1" t="s">
        <v>11</v>
      </c>
    </row>
    <row r="79" spans="1:9" x14ac:dyDescent="0.45">
      <c r="A79" s="1" t="s">
        <v>154</v>
      </c>
      <c r="B79" s="1" t="s">
        <v>155</v>
      </c>
      <c r="C79" s="1">
        <v>5</v>
      </c>
      <c r="D79" s="2">
        <v>43515</v>
      </c>
      <c r="E79" s="2">
        <v>43564</v>
      </c>
      <c r="F79" s="4">
        <v>126.55</v>
      </c>
      <c r="G79" s="4">
        <v>10.19</v>
      </c>
      <c r="H79" s="4">
        <v>116.36</v>
      </c>
      <c r="I79" s="1" t="s">
        <v>11</v>
      </c>
    </row>
    <row r="80" spans="1:9" x14ac:dyDescent="0.45">
      <c r="A80" s="1" t="s">
        <v>198</v>
      </c>
      <c r="B80" s="1" t="s">
        <v>199</v>
      </c>
      <c r="C80" s="1">
        <v>5</v>
      </c>
      <c r="D80" s="2">
        <v>43538</v>
      </c>
      <c r="E80" s="2">
        <v>43563</v>
      </c>
      <c r="F80" s="4">
        <v>421.6</v>
      </c>
      <c r="G80" s="4">
        <v>268.39</v>
      </c>
      <c r="H80" s="4">
        <v>153.21</v>
      </c>
      <c r="I80" s="1" t="s">
        <v>11</v>
      </c>
    </row>
    <row r="81" spans="1:9" x14ac:dyDescent="0.45">
      <c r="A81" s="1" t="s">
        <v>92</v>
      </c>
      <c r="B81" s="1" t="s">
        <v>93</v>
      </c>
      <c r="C81" s="1">
        <v>2</v>
      </c>
      <c r="D81" s="2">
        <v>43543</v>
      </c>
      <c r="E81" s="2">
        <v>43549</v>
      </c>
      <c r="F81" s="4">
        <v>170.62</v>
      </c>
      <c r="G81" s="4">
        <v>186.32</v>
      </c>
      <c r="H81" s="4">
        <v>-15.7</v>
      </c>
      <c r="I81" s="1" t="s">
        <v>11</v>
      </c>
    </row>
    <row r="82" spans="1:9" x14ac:dyDescent="0.45">
      <c r="A82" s="1" t="s">
        <v>56</v>
      </c>
      <c r="B82" s="1" t="s">
        <v>57</v>
      </c>
      <c r="C82" s="1">
        <v>1</v>
      </c>
      <c r="D82" s="2">
        <v>43528</v>
      </c>
      <c r="E82" s="2">
        <v>43545</v>
      </c>
      <c r="F82" s="4">
        <v>1074.3399999999999</v>
      </c>
      <c r="G82" s="4">
        <v>878.64</v>
      </c>
      <c r="H82" s="4">
        <v>195.7</v>
      </c>
      <c r="I82" s="1" t="s">
        <v>11</v>
      </c>
    </row>
    <row r="83" spans="1:9" x14ac:dyDescent="0.45">
      <c r="A83" s="1" t="s">
        <v>250</v>
      </c>
      <c r="B83" s="1" t="s">
        <v>251</v>
      </c>
      <c r="C83" s="1">
        <v>100</v>
      </c>
      <c r="D83" s="2">
        <v>43543</v>
      </c>
      <c r="E83" s="2">
        <v>43545</v>
      </c>
      <c r="F83" s="4">
        <v>1957.02</v>
      </c>
      <c r="G83" s="4">
        <v>1950.6</v>
      </c>
      <c r="H83" s="4">
        <v>6.42</v>
      </c>
      <c r="I83" s="1" t="s">
        <v>11</v>
      </c>
    </row>
    <row r="84" spans="1:9" x14ac:dyDescent="0.45">
      <c r="A84" s="1" t="s">
        <v>254</v>
      </c>
      <c r="B84" s="1" t="s">
        <v>255</v>
      </c>
      <c r="C84" s="1">
        <v>6</v>
      </c>
      <c r="D84" s="2">
        <v>43537</v>
      </c>
      <c r="E84" s="2">
        <v>43542</v>
      </c>
      <c r="F84" s="4">
        <v>386.92</v>
      </c>
      <c r="G84" s="4">
        <v>178.47</v>
      </c>
      <c r="H84" s="4">
        <v>208.45</v>
      </c>
      <c r="I84" s="1" t="s">
        <v>11</v>
      </c>
    </row>
    <row r="85" spans="1:9" x14ac:dyDescent="0.45">
      <c r="A85" s="1" t="s">
        <v>254</v>
      </c>
      <c r="B85" s="1" t="s">
        <v>255</v>
      </c>
      <c r="C85" s="1">
        <v>1</v>
      </c>
      <c r="D85" s="2">
        <v>43537</v>
      </c>
      <c r="E85" s="2">
        <v>43542</v>
      </c>
      <c r="F85" s="4">
        <v>64.3</v>
      </c>
      <c r="G85" s="4">
        <v>29.74</v>
      </c>
      <c r="H85" s="4">
        <v>34.56</v>
      </c>
      <c r="I85" s="1" t="s">
        <v>11</v>
      </c>
    </row>
    <row r="86" spans="1:9" x14ac:dyDescent="0.45">
      <c r="A86" s="1" t="s">
        <v>94</v>
      </c>
      <c r="B86" s="1" t="s">
        <v>95</v>
      </c>
      <c r="C86" s="1">
        <v>10</v>
      </c>
      <c r="D86" s="2">
        <v>43339</v>
      </c>
      <c r="E86" s="2">
        <v>43539</v>
      </c>
      <c r="F86" s="4">
        <v>0</v>
      </c>
      <c r="G86" s="4">
        <v>1536.84</v>
      </c>
      <c r="H86" s="4">
        <v>-1536.84</v>
      </c>
      <c r="I86" s="1" t="s">
        <v>11</v>
      </c>
    </row>
    <row r="87" spans="1:9" x14ac:dyDescent="0.45">
      <c r="A87" s="1" t="s">
        <v>150</v>
      </c>
      <c r="B87" s="1" t="s">
        <v>151</v>
      </c>
      <c r="C87" s="1">
        <v>4</v>
      </c>
      <c r="D87" s="2">
        <v>43375</v>
      </c>
      <c r="E87" s="2">
        <v>43539</v>
      </c>
      <c r="F87" s="4">
        <v>0</v>
      </c>
      <c r="G87" s="4">
        <v>735.69</v>
      </c>
      <c r="H87" s="4">
        <v>-735.69</v>
      </c>
      <c r="I87" s="1" t="s">
        <v>11</v>
      </c>
    </row>
    <row r="88" spans="1:9" x14ac:dyDescent="0.45">
      <c r="A88" s="1" t="s">
        <v>150</v>
      </c>
      <c r="B88" s="1" t="s">
        <v>151</v>
      </c>
      <c r="C88" s="1">
        <v>6</v>
      </c>
      <c r="D88" s="2">
        <v>43446</v>
      </c>
      <c r="E88" s="2">
        <v>43539</v>
      </c>
      <c r="F88" s="4">
        <v>0</v>
      </c>
      <c r="G88" s="4">
        <v>157.71</v>
      </c>
      <c r="H88" s="4">
        <v>-157.71</v>
      </c>
      <c r="I88" s="1" t="s">
        <v>11</v>
      </c>
    </row>
    <row r="89" spans="1:9" x14ac:dyDescent="0.45">
      <c r="A89" s="1" t="s">
        <v>150</v>
      </c>
      <c r="B89" s="1" t="s">
        <v>151</v>
      </c>
      <c r="C89" s="1">
        <v>20</v>
      </c>
      <c r="D89" s="2">
        <v>43474</v>
      </c>
      <c r="E89" s="2">
        <v>43539</v>
      </c>
      <c r="F89" s="4">
        <v>0</v>
      </c>
      <c r="G89" s="4">
        <v>105.69</v>
      </c>
      <c r="H89" s="4">
        <v>-105.69</v>
      </c>
      <c r="I89" s="1" t="s">
        <v>11</v>
      </c>
    </row>
    <row r="90" spans="1:9" x14ac:dyDescent="0.45">
      <c r="A90" s="1" t="s">
        <v>150</v>
      </c>
      <c r="B90" s="1" t="s">
        <v>151</v>
      </c>
      <c r="C90" s="1">
        <v>70</v>
      </c>
      <c r="D90" s="2">
        <v>43502</v>
      </c>
      <c r="E90" s="2">
        <v>43539</v>
      </c>
      <c r="F90" s="4">
        <v>0</v>
      </c>
      <c r="G90" s="4">
        <v>149.66999999999999</v>
      </c>
      <c r="H90" s="4">
        <v>-149.66999999999999</v>
      </c>
      <c r="I90" s="1" t="s">
        <v>11</v>
      </c>
    </row>
    <row r="91" spans="1:9" x14ac:dyDescent="0.45">
      <c r="A91" s="1" t="s">
        <v>78</v>
      </c>
      <c r="B91" s="1" t="s">
        <v>79</v>
      </c>
      <c r="C91" s="1">
        <v>3</v>
      </c>
      <c r="D91" s="2">
        <v>43502</v>
      </c>
      <c r="E91" s="2">
        <v>43537</v>
      </c>
      <c r="F91" s="4">
        <v>867.18</v>
      </c>
      <c r="G91" s="4">
        <v>2542.0100000000002</v>
      </c>
      <c r="H91" s="4">
        <v>-1674.83</v>
      </c>
      <c r="I91" s="1" t="s">
        <v>11</v>
      </c>
    </row>
    <row r="92" spans="1:9" x14ac:dyDescent="0.45">
      <c r="A92" s="1" t="s">
        <v>78</v>
      </c>
      <c r="B92" s="1" t="s">
        <v>79</v>
      </c>
      <c r="C92" s="1">
        <v>5</v>
      </c>
      <c r="D92" s="2">
        <v>43518</v>
      </c>
      <c r="E92" s="2">
        <v>43537</v>
      </c>
      <c r="F92" s="4">
        <v>1445.31</v>
      </c>
      <c r="G92" s="4">
        <v>848.39</v>
      </c>
      <c r="H92" s="4">
        <v>596.91999999999996</v>
      </c>
      <c r="I92" s="1" t="s">
        <v>11</v>
      </c>
    </row>
    <row r="93" spans="1:9" x14ac:dyDescent="0.45">
      <c r="A93" s="1" t="s">
        <v>78</v>
      </c>
      <c r="B93" s="1" t="s">
        <v>79</v>
      </c>
      <c r="C93" s="1">
        <v>2</v>
      </c>
      <c r="D93" s="2">
        <v>43522</v>
      </c>
      <c r="E93" s="2">
        <v>43537</v>
      </c>
      <c r="F93" s="4">
        <v>578.12</v>
      </c>
      <c r="G93" s="4">
        <v>266.33</v>
      </c>
      <c r="H93" s="4">
        <v>311.79000000000002</v>
      </c>
      <c r="I93" s="1" t="s">
        <v>11</v>
      </c>
    </row>
    <row r="94" spans="1:9" x14ac:dyDescent="0.45">
      <c r="A94" s="1" t="s">
        <v>78</v>
      </c>
      <c r="B94" s="1" t="s">
        <v>79</v>
      </c>
      <c r="C94" s="1">
        <v>10</v>
      </c>
      <c r="D94" s="2">
        <v>43536</v>
      </c>
      <c r="E94" s="2">
        <v>43537</v>
      </c>
      <c r="F94" s="4">
        <v>2890.62</v>
      </c>
      <c r="G94" s="4">
        <v>1601.82</v>
      </c>
      <c r="H94" s="4">
        <v>1288.8</v>
      </c>
      <c r="I94" s="1" t="s">
        <v>11</v>
      </c>
    </row>
    <row r="95" spans="1:9" x14ac:dyDescent="0.45">
      <c r="A95" s="1" t="s">
        <v>80</v>
      </c>
      <c r="B95" s="1" t="s">
        <v>81</v>
      </c>
      <c r="C95" s="1">
        <v>1</v>
      </c>
      <c r="D95" s="2">
        <v>43516</v>
      </c>
      <c r="E95" s="2">
        <v>43537</v>
      </c>
      <c r="F95" s="4">
        <v>1700.33</v>
      </c>
      <c r="G95" s="4">
        <v>1376.64</v>
      </c>
      <c r="H95" s="4">
        <v>323.69</v>
      </c>
      <c r="I95" s="1" t="s">
        <v>11</v>
      </c>
    </row>
    <row r="96" spans="1:9" x14ac:dyDescent="0.45">
      <c r="A96" s="1" t="s">
        <v>172</v>
      </c>
      <c r="B96" s="1" t="s">
        <v>173</v>
      </c>
      <c r="C96" s="1">
        <v>1</v>
      </c>
      <c r="D96" s="2">
        <v>43515</v>
      </c>
      <c r="E96" s="2">
        <v>43536</v>
      </c>
      <c r="F96" s="4">
        <v>319.3</v>
      </c>
      <c r="G96" s="4">
        <v>177.64</v>
      </c>
      <c r="H96" s="4">
        <v>141.66</v>
      </c>
      <c r="I96" s="1" t="s">
        <v>11</v>
      </c>
    </row>
    <row r="97" spans="1:9" x14ac:dyDescent="0.45">
      <c r="A97" s="1" t="s">
        <v>68</v>
      </c>
      <c r="B97" s="1" t="s">
        <v>69</v>
      </c>
      <c r="C97" s="1">
        <v>1</v>
      </c>
      <c r="D97" s="2">
        <v>43530</v>
      </c>
      <c r="E97" s="2">
        <v>43530</v>
      </c>
      <c r="F97" s="4">
        <v>94.95</v>
      </c>
      <c r="G97" s="4">
        <v>111.34</v>
      </c>
      <c r="H97" s="4">
        <v>-16.39</v>
      </c>
      <c r="I97" s="1" t="s">
        <v>11</v>
      </c>
    </row>
    <row r="98" spans="1:9" x14ac:dyDescent="0.45">
      <c r="A98" s="1" t="s">
        <v>108</v>
      </c>
      <c r="B98" s="1" t="s">
        <v>109</v>
      </c>
      <c r="C98" s="1">
        <v>1</v>
      </c>
      <c r="D98" s="2">
        <v>43500</v>
      </c>
      <c r="E98" s="2">
        <v>43530</v>
      </c>
      <c r="F98" s="4">
        <v>1902.64</v>
      </c>
      <c r="G98" s="4">
        <v>2648.64</v>
      </c>
      <c r="H98" s="4">
        <v>-746</v>
      </c>
      <c r="I98" s="1" t="s">
        <v>11</v>
      </c>
    </row>
    <row r="99" spans="1:9" x14ac:dyDescent="0.45">
      <c r="A99" s="1" t="s">
        <v>108</v>
      </c>
      <c r="B99" s="1" t="s">
        <v>109</v>
      </c>
      <c r="C99" s="1">
        <v>1</v>
      </c>
      <c r="D99" s="2">
        <v>43517</v>
      </c>
      <c r="E99" s="2">
        <v>43530</v>
      </c>
      <c r="F99" s="4">
        <v>1902.64</v>
      </c>
      <c r="G99" s="4">
        <v>755.64</v>
      </c>
      <c r="H99" s="4">
        <v>1147</v>
      </c>
      <c r="I99" s="1" t="s">
        <v>11</v>
      </c>
    </row>
    <row r="100" spans="1:9" x14ac:dyDescent="0.45">
      <c r="A100" s="1" t="s">
        <v>108</v>
      </c>
      <c r="B100" s="1" t="s">
        <v>109</v>
      </c>
      <c r="C100" s="1">
        <v>1</v>
      </c>
      <c r="D100" s="2">
        <v>43523</v>
      </c>
      <c r="E100" s="2">
        <v>43530</v>
      </c>
      <c r="F100" s="4">
        <v>1902.63</v>
      </c>
      <c r="G100" s="4">
        <v>789.64</v>
      </c>
      <c r="H100" s="4">
        <v>1112.99</v>
      </c>
      <c r="I100" s="1" t="s">
        <v>11</v>
      </c>
    </row>
    <row r="101" spans="1:9" x14ac:dyDescent="0.45">
      <c r="A101" s="1" t="s">
        <v>102</v>
      </c>
      <c r="B101" s="1" t="s">
        <v>103</v>
      </c>
      <c r="C101" s="1">
        <v>1</v>
      </c>
      <c r="D101" s="2">
        <v>43500</v>
      </c>
      <c r="E101" s="2">
        <v>43529</v>
      </c>
      <c r="F101" s="4">
        <v>4043.02</v>
      </c>
      <c r="G101" s="4">
        <v>3989.64</v>
      </c>
      <c r="H101" s="4">
        <v>53.38</v>
      </c>
      <c r="I101" s="1" t="s">
        <v>11</v>
      </c>
    </row>
    <row r="102" spans="1:9" x14ac:dyDescent="0.45">
      <c r="A102" s="1" t="s">
        <v>102</v>
      </c>
      <c r="B102" s="1" t="s">
        <v>103</v>
      </c>
      <c r="C102" s="1">
        <v>1</v>
      </c>
      <c r="D102" s="2">
        <v>43502</v>
      </c>
      <c r="E102" s="2">
        <v>43529</v>
      </c>
      <c r="F102" s="4">
        <v>4043.02</v>
      </c>
      <c r="G102" s="4">
        <v>2524.64</v>
      </c>
      <c r="H102" s="4">
        <v>1518.38</v>
      </c>
      <c r="I102" s="1" t="s">
        <v>11</v>
      </c>
    </row>
    <row r="103" spans="1:9" x14ac:dyDescent="0.45">
      <c r="A103" s="1" t="s">
        <v>102</v>
      </c>
      <c r="B103" s="1" t="s">
        <v>103</v>
      </c>
      <c r="C103" s="1">
        <v>1</v>
      </c>
      <c r="D103" s="2">
        <v>43516</v>
      </c>
      <c r="E103" s="2">
        <v>43529</v>
      </c>
      <c r="F103" s="4">
        <v>4043.02</v>
      </c>
      <c r="G103" s="4">
        <v>2088.64</v>
      </c>
      <c r="H103" s="4">
        <v>1954.38</v>
      </c>
      <c r="I103" s="1" t="s">
        <v>11</v>
      </c>
    </row>
    <row r="104" spans="1:9" x14ac:dyDescent="0.45">
      <c r="A104" s="1" t="s">
        <v>102</v>
      </c>
      <c r="B104" s="1" t="s">
        <v>103</v>
      </c>
      <c r="C104" s="1">
        <v>1</v>
      </c>
      <c r="D104" s="2">
        <v>43523</v>
      </c>
      <c r="E104" s="2">
        <v>43529</v>
      </c>
      <c r="F104" s="4">
        <v>4043.02</v>
      </c>
      <c r="G104" s="4">
        <v>1235.6400000000001</v>
      </c>
      <c r="H104" s="4">
        <v>2807.38</v>
      </c>
      <c r="I104" s="1" t="s">
        <v>11</v>
      </c>
    </row>
    <row r="105" spans="1:9" x14ac:dyDescent="0.45">
      <c r="A105" s="1" t="s">
        <v>96</v>
      </c>
      <c r="B105" s="1" t="s">
        <v>97</v>
      </c>
      <c r="C105" s="1">
        <v>300</v>
      </c>
      <c r="D105" s="2">
        <v>43528</v>
      </c>
      <c r="E105" s="2">
        <v>43525</v>
      </c>
      <c r="F105" s="4">
        <v>342523.58</v>
      </c>
      <c r="G105" s="4">
        <v>347529.84</v>
      </c>
      <c r="H105" s="4">
        <v>-5006.26</v>
      </c>
      <c r="I105" s="1" t="s">
        <v>11</v>
      </c>
    </row>
    <row r="106" spans="1:9" x14ac:dyDescent="0.45">
      <c r="A106" s="1" t="s">
        <v>142</v>
      </c>
      <c r="B106" s="1" t="s">
        <v>143</v>
      </c>
      <c r="C106" s="1">
        <v>100</v>
      </c>
      <c r="D106" s="2">
        <v>43501</v>
      </c>
      <c r="E106" s="2">
        <v>43523</v>
      </c>
      <c r="F106" s="4">
        <v>6002.92</v>
      </c>
      <c r="G106" s="4">
        <v>6014.95</v>
      </c>
      <c r="H106" s="4">
        <v>-12.03</v>
      </c>
      <c r="I106" s="1" t="s">
        <v>11</v>
      </c>
    </row>
    <row r="107" spans="1:9" x14ac:dyDescent="0.45">
      <c r="A107" s="1" t="s">
        <v>100</v>
      </c>
      <c r="B107" s="1" t="s">
        <v>101</v>
      </c>
      <c r="C107" s="1">
        <v>1</v>
      </c>
      <c r="D107" s="2">
        <v>43515</v>
      </c>
      <c r="E107" s="2">
        <v>43517</v>
      </c>
      <c r="F107" s="4">
        <v>1102.3399999999999</v>
      </c>
      <c r="G107" s="4">
        <v>485.64</v>
      </c>
      <c r="H107" s="4">
        <v>616.70000000000005</v>
      </c>
      <c r="I107" s="1" t="s">
        <v>11</v>
      </c>
    </row>
    <row r="108" spans="1:9" x14ac:dyDescent="0.45">
      <c r="A108" s="1" t="s">
        <v>104</v>
      </c>
      <c r="B108" s="1" t="s">
        <v>105</v>
      </c>
      <c r="C108" s="1">
        <v>1</v>
      </c>
      <c r="D108" s="2">
        <v>43516</v>
      </c>
      <c r="E108" s="2">
        <v>43517</v>
      </c>
      <c r="F108" s="4">
        <v>1080.29</v>
      </c>
      <c r="G108" s="4">
        <v>505.64</v>
      </c>
      <c r="H108" s="4">
        <v>574.65</v>
      </c>
      <c r="I108" s="1" t="s">
        <v>11</v>
      </c>
    </row>
    <row r="109" spans="1:9" x14ac:dyDescent="0.45">
      <c r="A109" s="1" t="s">
        <v>148</v>
      </c>
      <c r="B109" s="1" t="s">
        <v>149</v>
      </c>
      <c r="C109" s="1">
        <v>3</v>
      </c>
      <c r="D109" s="2">
        <v>43487</v>
      </c>
      <c r="E109" s="2">
        <v>43517</v>
      </c>
      <c r="F109" s="4">
        <v>472.99</v>
      </c>
      <c r="G109" s="4">
        <v>226.01</v>
      </c>
      <c r="H109" s="4">
        <v>246.98</v>
      </c>
      <c r="I109" s="1" t="s">
        <v>11</v>
      </c>
    </row>
    <row r="110" spans="1:9" x14ac:dyDescent="0.45">
      <c r="A110" s="1" t="s">
        <v>146</v>
      </c>
      <c r="B110" s="1" t="s">
        <v>147</v>
      </c>
      <c r="C110" s="1">
        <v>300</v>
      </c>
      <c r="D110" s="2">
        <v>43504</v>
      </c>
      <c r="E110" s="2">
        <v>43516</v>
      </c>
      <c r="F110" s="4">
        <v>1916.55</v>
      </c>
      <c r="G110" s="4">
        <v>1766.96</v>
      </c>
      <c r="H110" s="4">
        <v>149.59</v>
      </c>
      <c r="I110" s="1" t="s">
        <v>11</v>
      </c>
    </row>
    <row r="111" spans="1:9" x14ac:dyDescent="0.45">
      <c r="A111" s="1" t="s">
        <v>214</v>
      </c>
      <c r="B111" s="1" t="s">
        <v>215</v>
      </c>
      <c r="C111" s="1">
        <v>1</v>
      </c>
      <c r="D111" s="2">
        <v>43494</v>
      </c>
      <c r="E111" s="2">
        <v>43516</v>
      </c>
      <c r="F111" s="4">
        <v>746.83</v>
      </c>
      <c r="G111" s="4">
        <v>480.68</v>
      </c>
      <c r="H111" s="4">
        <v>266.14999999999998</v>
      </c>
      <c r="I111" s="1" t="s">
        <v>11</v>
      </c>
    </row>
    <row r="112" spans="1:9" x14ac:dyDescent="0.45">
      <c r="A112" s="1" t="s">
        <v>214</v>
      </c>
      <c r="B112" s="1" t="s">
        <v>215</v>
      </c>
      <c r="C112" s="1">
        <v>1</v>
      </c>
      <c r="D112" s="2">
        <v>43501</v>
      </c>
      <c r="E112" s="2">
        <v>43516</v>
      </c>
      <c r="F112" s="4">
        <v>746.82</v>
      </c>
      <c r="G112" s="4">
        <v>565.64</v>
      </c>
      <c r="H112" s="4">
        <v>181.18</v>
      </c>
      <c r="I112" s="1" t="s">
        <v>11</v>
      </c>
    </row>
    <row r="113" spans="1:9" x14ac:dyDescent="0.45">
      <c r="A113" s="1" t="s">
        <v>98</v>
      </c>
      <c r="B113" s="1" t="s">
        <v>99</v>
      </c>
      <c r="C113" s="1">
        <v>1</v>
      </c>
      <c r="D113" s="2">
        <v>43509</v>
      </c>
      <c r="E113" s="2">
        <v>43515</v>
      </c>
      <c r="F113" s="4">
        <v>996.82</v>
      </c>
      <c r="G113" s="4">
        <v>417.64</v>
      </c>
      <c r="H113" s="4">
        <v>579.17999999999995</v>
      </c>
      <c r="I113" s="1" t="s">
        <v>11</v>
      </c>
    </row>
    <row r="114" spans="1:9" x14ac:dyDescent="0.45">
      <c r="A114" s="1" t="s">
        <v>170</v>
      </c>
      <c r="B114" s="1" t="s">
        <v>171</v>
      </c>
      <c r="C114" s="1">
        <v>1</v>
      </c>
      <c r="D114" s="2">
        <v>43515</v>
      </c>
      <c r="E114" s="2">
        <v>43515</v>
      </c>
      <c r="F114" s="4">
        <v>211.35</v>
      </c>
      <c r="G114" s="4">
        <v>84.99</v>
      </c>
      <c r="H114" s="4">
        <v>126.36</v>
      </c>
      <c r="I114" s="1" t="s">
        <v>11</v>
      </c>
    </row>
    <row r="115" spans="1:9" x14ac:dyDescent="0.45">
      <c r="A115" s="1" t="s">
        <v>20</v>
      </c>
      <c r="B115" s="1" t="s">
        <v>21</v>
      </c>
      <c r="C115" s="1">
        <v>5</v>
      </c>
      <c r="D115" s="2">
        <v>43482</v>
      </c>
      <c r="E115" s="2">
        <v>43511</v>
      </c>
      <c r="F115" s="4">
        <v>1254.08</v>
      </c>
      <c r="G115" s="4">
        <v>978.39</v>
      </c>
      <c r="H115" s="4">
        <v>275.69</v>
      </c>
      <c r="I115" s="1" t="s">
        <v>11</v>
      </c>
    </row>
    <row r="116" spans="1:9" x14ac:dyDescent="0.45">
      <c r="A116" s="1" t="s">
        <v>82</v>
      </c>
      <c r="B116" s="1" t="s">
        <v>83</v>
      </c>
      <c r="C116" s="1">
        <v>1</v>
      </c>
      <c r="D116" s="2">
        <v>43502</v>
      </c>
      <c r="E116" s="2">
        <v>43511</v>
      </c>
      <c r="F116" s="4">
        <v>2534.27</v>
      </c>
      <c r="G116" s="4">
        <v>2255.64</v>
      </c>
      <c r="H116" s="4">
        <v>278.63</v>
      </c>
      <c r="I116" s="1" t="s">
        <v>11</v>
      </c>
    </row>
    <row r="117" spans="1:9" x14ac:dyDescent="0.45">
      <c r="A117" s="1" t="s">
        <v>98</v>
      </c>
      <c r="B117" s="1" t="s">
        <v>99</v>
      </c>
      <c r="C117" s="1">
        <v>1</v>
      </c>
      <c r="D117" s="2">
        <v>43509</v>
      </c>
      <c r="E117" s="2">
        <v>43511</v>
      </c>
      <c r="F117" s="4">
        <v>996.82</v>
      </c>
      <c r="G117" s="4">
        <v>395.64</v>
      </c>
      <c r="H117" s="4">
        <v>601.17999999999995</v>
      </c>
      <c r="I117" s="1" t="s">
        <v>11</v>
      </c>
    </row>
    <row r="118" spans="1:9" x14ac:dyDescent="0.45">
      <c r="A118" s="1" t="s">
        <v>212</v>
      </c>
      <c r="B118" s="1" t="s">
        <v>213</v>
      </c>
      <c r="C118" s="1">
        <v>1</v>
      </c>
      <c r="D118" s="2">
        <v>43494</v>
      </c>
      <c r="E118" s="2">
        <v>43511</v>
      </c>
      <c r="F118" s="4">
        <v>749.36</v>
      </c>
      <c r="G118" s="4">
        <v>129.63999999999999</v>
      </c>
      <c r="H118" s="4">
        <v>619.72</v>
      </c>
      <c r="I118" s="1" t="s">
        <v>11</v>
      </c>
    </row>
    <row r="119" spans="1:9" x14ac:dyDescent="0.45">
      <c r="A119" s="1" t="s">
        <v>242</v>
      </c>
      <c r="B119" s="1" t="s">
        <v>243</v>
      </c>
      <c r="C119" s="1">
        <v>5</v>
      </c>
      <c r="D119" s="2">
        <v>43374</v>
      </c>
      <c r="E119" s="2">
        <v>43511</v>
      </c>
      <c r="F119" s="4">
        <v>0</v>
      </c>
      <c r="G119" s="4">
        <v>2003.42</v>
      </c>
      <c r="H119" s="4">
        <v>-2003.42</v>
      </c>
      <c r="I119" s="1" t="s">
        <v>11</v>
      </c>
    </row>
    <row r="120" spans="1:9" x14ac:dyDescent="0.45">
      <c r="A120" s="1" t="s">
        <v>242</v>
      </c>
      <c r="B120" s="1" t="s">
        <v>243</v>
      </c>
      <c r="C120" s="1">
        <v>15</v>
      </c>
      <c r="D120" s="2">
        <v>43483</v>
      </c>
      <c r="E120" s="2">
        <v>43511</v>
      </c>
      <c r="F120" s="4">
        <v>0</v>
      </c>
      <c r="G120" s="4">
        <v>690.21</v>
      </c>
      <c r="H120" s="4">
        <v>-690.21</v>
      </c>
      <c r="I120" s="1" t="s">
        <v>11</v>
      </c>
    </row>
    <row r="121" spans="1:9" x14ac:dyDescent="0.45">
      <c r="A121" s="1" t="s">
        <v>242</v>
      </c>
      <c r="B121" s="1" t="s">
        <v>243</v>
      </c>
      <c r="C121" s="1">
        <v>10</v>
      </c>
      <c r="D121" s="2">
        <v>43488</v>
      </c>
      <c r="E121" s="2">
        <v>43511</v>
      </c>
      <c r="F121" s="4">
        <v>0</v>
      </c>
      <c r="G121" s="4">
        <v>210.34</v>
      </c>
      <c r="H121" s="4">
        <v>-210.34</v>
      </c>
      <c r="I121" s="1" t="s">
        <v>11</v>
      </c>
    </row>
    <row r="122" spans="1:9" x14ac:dyDescent="0.45">
      <c r="A122" s="1" t="s">
        <v>30</v>
      </c>
      <c r="B122" s="1" t="s">
        <v>31</v>
      </c>
      <c r="C122" s="1">
        <v>1</v>
      </c>
      <c r="D122" s="2">
        <v>43461</v>
      </c>
      <c r="E122" s="2">
        <v>43507</v>
      </c>
      <c r="F122" s="4">
        <v>233.32</v>
      </c>
      <c r="G122" s="4">
        <v>49.68</v>
      </c>
      <c r="H122" s="4">
        <v>183.64</v>
      </c>
      <c r="I122" s="1" t="s">
        <v>11</v>
      </c>
    </row>
    <row r="123" spans="1:9" x14ac:dyDescent="0.45">
      <c r="A123" s="1" t="s">
        <v>30</v>
      </c>
      <c r="B123" s="1" t="s">
        <v>31</v>
      </c>
      <c r="C123" s="1">
        <v>4</v>
      </c>
      <c r="D123" s="2">
        <v>43482</v>
      </c>
      <c r="E123" s="2">
        <v>43507</v>
      </c>
      <c r="F123" s="4">
        <v>933.27</v>
      </c>
      <c r="G123" s="4">
        <v>207.69</v>
      </c>
      <c r="H123" s="4">
        <v>725.58</v>
      </c>
      <c r="I123" s="1" t="s">
        <v>11</v>
      </c>
    </row>
    <row r="124" spans="1:9" x14ac:dyDescent="0.45">
      <c r="A124" s="1" t="s">
        <v>18</v>
      </c>
      <c r="B124" s="1" t="s">
        <v>19</v>
      </c>
      <c r="C124" s="1">
        <v>10</v>
      </c>
      <c r="D124" s="2">
        <v>43482</v>
      </c>
      <c r="E124" s="2">
        <v>43502</v>
      </c>
      <c r="F124" s="4">
        <v>969.81</v>
      </c>
      <c r="G124" s="4">
        <v>616.84</v>
      </c>
      <c r="H124" s="4">
        <v>352.97</v>
      </c>
      <c r="I124" s="1" t="s">
        <v>11</v>
      </c>
    </row>
    <row r="125" spans="1:9" x14ac:dyDescent="0.45">
      <c r="A125" s="1" t="s">
        <v>18</v>
      </c>
      <c r="B125" s="1" t="s">
        <v>19</v>
      </c>
      <c r="C125" s="1">
        <v>5</v>
      </c>
      <c r="D125" s="2">
        <v>43494</v>
      </c>
      <c r="E125" s="2">
        <v>43502</v>
      </c>
      <c r="F125" s="4">
        <v>484.9</v>
      </c>
      <c r="G125" s="4">
        <v>223.37</v>
      </c>
      <c r="H125" s="4">
        <v>261.52999999999997</v>
      </c>
      <c r="I125" s="1" t="s">
        <v>11</v>
      </c>
    </row>
    <row r="126" spans="1:9" x14ac:dyDescent="0.45">
      <c r="A126" s="1" t="s">
        <v>166</v>
      </c>
      <c r="B126" s="1" t="s">
        <v>167</v>
      </c>
      <c r="C126" s="1">
        <v>300</v>
      </c>
      <c r="D126" s="2">
        <v>43497</v>
      </c>
      <c r="E126" s="2">
        <v>43502</v>
      </c>
      <c r="F126" s="4">
        <v>4183.68</v>
      </c>
      <c r="G126" s="4">
        <v>3816.98</v>
      </c>
      <c r="H126" s="4">
        <v>366.7</v>
      </c>
      <c r="I126" s="1" t="s">
        <v>11</v>
      </c>
    </row>
    <row r="127" spans="1:9" x14ac:dyDescent="0.45">
      <c r="A127" s="1" t="s">
        <v>196</v>
      </c>
      <c r="B127" s="1" t="s">
        <v>197</v>
      </c>
      <c r="C127" s="1">
        <v>100</v>
      </c>
      <c r="D127" s="2">
        <v>43378</v>
      </c>
      <c r="E127" s="2">
        <v>43502</v>
      </c>
      <c r="F127" s="4">
        <v>846.1</v>
      </c>
      <c r="G127" s="4">
        <v>991.59</v>
      </c>
      <c r="H127" s="4">
        <v>-145.49</v>
      </c>
      <c r="I127" s="1" t="s">
        <v>11</v>
      </c>
    </row>
    <row r="128" spans="1:9" x14ac:dyDescent="0.45">
      <c r="A128" s="1" t="s">
        <v>196</v>
      </c>
      <c r="B128" s="1" t="s">
        <v>197</v>
      </c>
      <c r="C128" s="1">
        <v>300</v>
      </c>
      <c r="D128" s="2">
        <v>43501</v>
      </c>
      <c r="E128" s="2">
        <v>43502</v>
      </c>
      <c r="F128" s="4">
        <v>2538.3000000000002</v>
      </c>
      <c r="G128" s="4">
        <v>2092.9499999999998</v>
      </c>
      <c r="H128" s="4">
        <v>445.35</v>
      </c>
      <c r="I128" s="1" t="s">
        <v>11</v>
      </c>
    </row>
    <row r="129" spans="1:9" x14ac:dyDescent="0.45">
      <c r="A129" s="1" t="s">
        <v>110</v>
      </c>
      <c r="B129" s="1" t="s">
        <v>111</v>
      </c>
      <c r="C129" s="1">
        <v>1</v>
      </c>
      <c r="D129" s="2">
        <v>43500</v>
      </c>
      <c r="E129" s="2">
        <v>43501</v>
      </c>
      <c r="F129" s="4">
        <v>236.3</v>
      </c>
      <c r="G129" s="4">
        <v>167.64</v>
      </c>
      <c r="H129" s="4">
        <v>68.66</v>
      </c>
      <c r="I129" s="1" t="s">
        <v>11</v>
      </c>
    </row>
    <row r="130" spans="1:9" x14ac:dyDescent="0.45">
      <c r="A130" s="1" t="s">
        <v>160</v>
      </c>
      <c r="B130" s="1" t="s">
        <v>161</v>
      </c>
      <c r="C130" s="1">
        <v>100</v>
      </c>
      <c r="D130" s="2">
        <v>43497</v>
      </c>
      <c r="E130" s="2">
        <v>43501</v>
      </c>
      <c r="F130" s="4">
        <v>4119.8</v>
      </c>
      <c r="G130" s="4">
        <v>4052.55</v>
      </c>
      <c r="H130" s="4">
        <v>67.25</v>
      </c>
      <c r="I130" s="1" t="s">
        <v>11</v>
      </c>
    </row>
    <row r="131" spans="1:9" x14ac:dyDescent="0.45">
      <c r="A131" s="1" t="s">
        <v>106</v>
      </c>
      <c r="B131" s="1" t="s">
        <v>107</v>
      </c>
      <c r="C131" s="1">
        <v>1</v>
      </c>
      <c r="D131" s="2">
        <v>43500</v>
      </c>
      <c r="E131" s="2">
        <v>43500</v>
      </c>
      <c r="F131" s="4">
        <v>202.3</v>
      </c>
      <c r="G131" s="4">
        <v>213.64</v>
      </c>
      <c r="H131" s="4">
        <v>-11.34</v>
      </c>
      <c r="I131" s="1" t="s">
        <v>11</v>
      </c>
    </row>
    <row r="132" spans="1:9" x14ac:dyDescent="0.45">
      <c r="A132" s="1" t="s">
        <v>12</v>
      </c>
      <c r="B132" s="1" t="s">
        <v>13</v>
      </c>
      <c r="C132" s="1">
        <v>2000</v>
      </c>
      <c r="D132" s="2">
        <v>43420</v>
      </c>
      <c r="E132" s="2">
        <v>43497</v>
      </c>
      <c r="F132" s="4">
        <v>14374.86</v>
      </c>
      <c r="G132" s="4">
        <v>14423.64</v>
      </c>
      <c r="H132" s="4">
        <v>-48.78</v>
      </c>
      <c r="I132" s="1" t="s">
        <v>11</v>
      </c>
    </row>
    <row r="133" spans="1:9" x14ac:dyDescent="0.45">
      <c r="A133" s="1" t="s">
        <v>210</v>
      </c>
      <c r="B133" s="1" t="s">
        <v>211</v>
      </c>
      <c r="C133" s="1">
        <v>2</v>
      </c>
      <c r="D133" s="2">
        <v>43490</v>
      </c>
      <c r="E133" s="2">
        <v>43497</v>
      </c>
      <c r="F133" s="4">
        <v>0</v>
      </c>
      <c r="G133" s="4">
        <v>286.32</v>
      </c>
      <c r="H133" s="4">
        <v>-286.32</v>
      </c>
      <c r="I133" s="1" t="s">
        <v>11</v>
      </c>
    </row>
    <row r="134" spans="1:9" x14ac:dyDescent="0.45">
      <c r="A134" s="1" t="s">
        <v>248</v>
      </c>
      <c r="B134" s="1" t="s">
        <v>249</v>
      </c>
      <c r="C134" s="1">
        <v>100</v>
      </c>
      <c r="D134" s="2">
        <v>43494</v>
      </c>
      <c r="E134" s="2">
        <v>43497</v>
      </c>
      <c r="F134" s="4">
        <v>10194.91</v>
      </c>
      <c r="G134" s="4">
        <v>10153.629999999999</v>
      </c>
      <c r="H134" s="4">
        <v>41.28</v>
      </c>
      <c r="I134" s="1" t="s">
        <v>11</v>
      </c>
    </row>
    <row r="135" spans="1:9" x14ac:dyDescent="0.45">
      <c r="A135" s="1" t="s">
        <v>208</v>
      </c>
      <c r="B135" s="1" t="s">
        <v>209</v>
      </c>
      <c r="C135" s="1">
        <v>2</v>
      </c>
      <c r="D135" s="2">
        <v>43490</v>
      </c>
      <c r="E135" s="2">
        <v>43494</v>
      </c>
      <c r="F135" s="4">
        <v>333.67</v>
      </c>
      <c r="G135" s="4">
        <v>27.02</v>
      </c>
      <c r="H135" s="4">
        <v>306.64999999999998</v>
      </c>
      <c r="I135" s="1" t="s">
        <v>11</v>
      </c>
    </row>
    <row r="136" spans="1:9" x14ac:dyDescent="0.45">
      <c r="A136" s="1" t="s">
        <v>20</v>
      </c>
      <c r="B136" s="1" t="s">
        <v>21</v>
      </c>
      <c r="C136" s="1">
        <v>5</v>
      </c>
      <c r="D136" s="2">
        <v>43482</v>
      </c>
      <c r="E136" s="2">
        <v>43493</v>
      </c>
      <c r="F136" s="4">
        <v>1254.0899999999999</v>
      </c>
      <c r="G136" s="4">
        <v>1093.3699999999999</v>
      </c>
      <c r="H136" s="4">
        <v>160.72</v>
      </c>
      <c r="I136" s="1" t="s">
        <v>11</v>
      </c>
    </row>
    <row r="137" spans="1:9" x14ac:dyDescent="0.45">
      <c r="A137" s="1" t="s">
        <v>202</v>
      </c>
      <c r="B137" s="1" t="s">
        <v>203</v>
      </c>
      <c r="C137" s="1">
        <v>200</v>
      </c>
      <c r="D137" s="2">
        <v>43413</v>
      </c>
      <c r="E137" s="2">
        <v>43493</v>
      </c>
      <c r="F137" s="4">
        <v>15158.41</v>
      </c>
      <c r="G137" s="4">
        <v>15171.31</v>
      </c>
      <c r="H137" s="4">
        <v>-12.9</v>
      </c>
      <c r="I137" s="1" t="s">
        <v>11</v>
      </c>
    </row>
    <row r="138" spans="1:9" x14ac:dyDescent="0.45">
      <c r="A138" s="1" t="s">
        <v>162</v>
      </c>
      <c r="B138" s="1" t="s">
        <v>163</v>
      </c>
      <c r="C138" s="1">
        <v>1</v>
      </c>
      <c r="D138" s="2">
        <v>43482</v>
      </c>
      <c r="E138" s="2">
        <v>43490</v>
      </c>
      <c r="F138" s="4">
        <v>0</v>
      </c>
      <c r="G138" s="4">
        <v>1461.63</v>
      </c>
      <c r="H138" s="4">
        <v>-1461.63</v>
      </c>
      <c r="I138" s="1" t="s">
        <v>11</v>
      </c>
    </row>
    <row r="139" spans="1:9" x14ac:dyDescent="0.45">
      <c r="A139" s="1" t="s">
        <v>168</v>
      </c>
      <c r="B139" s="1" t="s">
        <v>169</v>
      </c>
      <c r="C139" s="1">
        <v>5</v>
      </c>
      <c r="D139" s="2">
        <v>43487</v>
      </c>
      <c r="E139" s="2">
        <v>43490</v>
      </c>
      <c r="F139" s="4">
        <v>726.62</v>
      </c>
      <c r="G139" s="4">
        <v>398.42</v>
      </c>
      <c r="H139" s="4">
        <v>328.2</v>
      </c>
      <c r="I139" s="1" t="s">
        <v>11</v>
      </c>
    </row>
    <row r="140" spans="1:9" x14ac:dyDescent="0.45">
      <c r="A140" s="1" t="s">
        <v>16</v>
      </c>
      <c r="B140" s="1" t="s">
        <v>17</v>
      </c>
      <c r="C140" s="1">
        <v>10</v>
      </c>
      <c r="D140" s="2">
        <v>43482</v>
      </c>
      <c r="E140" s="2">
        <v>43487</v>
      </c>
      <c r="F140" s="4">
        <v>85.15</v>
      </c>
      <c r="G140" s="4">
        <v>10.34</v>
      </c>
      <c r="H140" s="4">
        <v>74.81</v>
      </c>
      <c r="I140" s="1" t="s">
        <v>11</v>
      </c>
    </row>
    <row r="141" spans="1:9" x14ac:dyDescent="0.45">
      <c r="A141" s="1" t="s">
        <v>58</v>
      </c>
      <c r="B141" s="1" t="s">
        <v>59</v>
      </c>
      <c r="C141" s="1">
        <v>3</v>
      </c>
      <c r="D141" s="2">
        <v>43389</v>
      </c>
      <c r="E141" s="2">
        <v>43487</v>
      </c>
      <c r="F141" s="4">
        <v>1004.45</v>
      </c>
      <c r="G141" s="4">
        <v>1112.05</v>
      </c>
      <c r="H141" s="4">
        <v>-107.6</v>
      </c>
      <c r="I141" s="1" t="s">
        <v>11</v>
      </c>
    </row>
    <row r="142" spans="1:9" x14ac:dyDescent="0.45">
      <c r="A142" s="1" t="s">
        <v>58</v>
      </c>
      <c r="B142" s="1" t="s">
        <v>59</v>
      </c>
      <c r="C142" s="1">
        <v>2</v>
      </c>
      <c r="D142" s="2">
        <v>43462</v>
      </c>
      <c r="E142" s="2">
        <v>43487</v>
      </c>
      <c r="F142" s="4">
        <v>669.63</v>
      </c>
      <c r="G142" s="4">
        <v>218.32</v>
      </c>
      <c r="H142" s="4">
        <v>451.31</v>
      </c>
      <c r="I142" s="1" t="s">
        <v>11</v>
      </c>
    </row>
    <row r="143" spans="1:9" x14ac:dyDescent="0.45">
      <c r="A143" s="1" t="s">
        <v>58</v>
      </c>
      <c r="B143" s="1" t="s">
        <v>59</v>
      </c>
      <c r="C143" s="1">
        <v>5</v>
      </c>
      <c r="D143" s="2">
        <v>43472</v>
      </c>
      <c r="E143" s="2">
        <v>43487</v>
      </c>
      <c r="F143" s="4">
        <v>1674.08</v>
      </c>
      <c r="G143" s="4">
        <v>933.42</v>
      </c>
      <c r="H143" s="4">
        <v>740.66</v>
      </c>
      <c r="I143" s="1" t="s">
        <v>11</v>
      </c>
    </row>
    <row r="144" spans="1:9" x14ac:dyDescent="0.45">
      <c r="A144" s="1" t="s">
        <v>60</v>
      </c>
      <c r="B144" s="1" t="s">
        <v>61</v>
      </c>
      <c r="C144" s="1">
        <v>10</v>
      </c>
      <c r="D144" s="2">
        <v>43472</v>
      </c>
      <c r="E144" s="2">
        <v>43487</v>
      </c>
      <c r="F144" s="4">
        <v>1298.19</v>
      </c>
      <c r="G144" s="4">
        <v>2616.84</v>
      </c>
      <c r="H144" s="4">
        <v>-1318.65</v>
      </c>
      <c r="I144" s="1" t="s">
        <v>11</v>
      </c>
    </row>
    <row r="145" spans="1:9" x14ac:dyDescent="0.45">
      <c r="A145" s="1" t="s">
        <v>206</v>
      </c>
      <c r="B145" s="1" t="s">
        <v>207</v>
      </c>
      <c r="C145" s="1">
        <v>1</v>
      </c>
      <c r="D145" s="2">
        <v>43480</v>
      </c>
      <c r="E145" s="2">
        <v>43487</v>
      </c>
      <c r="F145" s="4">
        <v>894.35</v>
      </c>
      <c r="G145" s="4">
        <v>508.63</v>
      </c>
      <c r="H145" s="4">
        <v>385.72</v>
      </c>
      <c r="I145" s="1" t="s">
        <v>11</v>
      </c>
    </row>
    <row r="146" spans="1:9" x14ac:dyDescent="0.45">
      <c r="A146" s="1" t="s">
        <v>238</v>
      </c>
      <c r="B146" s="1" t="s">
        <v>239</v>
      </c>
      <c r="C146" s="1">
        <v>2</v>
      </c>
      <c r="D146" s="2">
        <v>43473</v>
      </c>
      <c r="E146" s="2">
        <v>43487</v>
      </c>
      <c r="F146" s="4">
        <v>595.66999999999996</v>
      </c>
      <c r="G146" s="4">
        <v>561.37</v>
      </c>
      <c r="H146" s="4">
        <v>34.299999999999997</v>
      </c>
      <c r="I146" s="1" t="s">
        <v>11</v>
      </c>
    </row>
    <row r="147" spans="1:9" x14ac:dyDescent="0.45">
      <c r="A147" s="1" t="s">
        <v>240</v>
      </c>
      <c r="B147" s="1" t="s">
        <v>241</v>
      </c>
      <c r="C147" s="1">
        <v>2</v>
      </c>
      <c r="D147" s="2">
        <v>43473</v>
      </c>
      <c r="E147" s="2">
        <v>43487</v>
      </c>
      <c r="F147" s="4">
        <v>1353.66</v>
      </c>
      <c r="G147" s="4">
        <v>570.32000000000005</v>
      </c>
      <c r="H147" s="4">
        <v>783.34</v>
      </c>
      <c r="I147" s="1" t="s">
        <v>11</v>
      </c>
    </row>
    <row r="148" spans="1:9" x14ac:dyDescent="0.45">
      <c r="A148" s="1" t="s">
        <v>14</v>
      </c>
      <c r="B148" s="1" t="s">
        <v>15</v>
      </c>
      <c r="C148" s="1">
        <v>20</v>
      </c>
      <c r="D148" s="2">
        <v>43480</v>
      </c>
      <c r="E148" s="2">
        <v>43483</v>
      </c>
      <c r="F148" s="4">
        <v>189.3</v>
      </c>
      <c r="G148" s="4">
        <v>0</v>
      </c>
      <c r="H148" s="4">
        <v>189.3</v>
      </c>
      <c r="I148" s="1" t="s">
        <v>11</v>
      </c>
    </row>
    <row r="149" spans="1:9" x14ac:dyDescent="0.45">
      <c r="A149" s="1" t="s">
        <v>116</v>
      </c>
      <c r="B149" s="1" t="s">
        <v>117</v>
      </c>
      <c r="C149" s="1">
        <v>1</v>
      </c>
      <c r="D149" s="2">
        <v>43312</v>
      </c>
      <c r="E149" s="2">
        <v>43483</v>
      </c>
      <c r="F149" s="4">
        <v>0</v>
      </c>
      <c r="G149" s="4">
        <v>643.64</v>
      </c>
      <c r="H149" s="4">
        <v>-643.64</v>
      </c>
      <c r="I149" s="1" t="s">
        <v>11</v>
      </c>
    </row>
    <row r="150" spans="1:9" x14ac:dyDescent="0.45">
      <c r="A150" s="1" t="s">
        <v>116</v>
      </c>
      <c r="B150" s="1" t="s">
        <v>117</v>
      </c>
      <c r="C150" s="1">
        <v>1</v>
      </c>
      <c r="D150" s="2">
        <v>43318</v>
      </c>
      <c r="E150" s="2">
        <v>43483</v>
      </c>
      <c r="F150" s="4">
        <v>0</v>
      </c>
      <c r="G150" s="4">
        <v>465.63</v>
      </c>
      <c r="H150" s="4">
        <v>-465.63</v>
      </c>
      <c r="I150" s="1" t="s">
        <v>11</v>
      </c>
    </row>
    <row r="151" spans="1:9" x14ac:dyDescent="0.45">
      <c r="A151" s="1" t="s">
        <v>164</v>
      </c>
      <c r="B151" s="1" t="s">
        <v>165</v>
      </c>
      <c r="C151" s="1">
        <v>1</v>
      </c>
      <c r="D151" s="2">
        <v>43482</v>
      </c>
      <c r="E151" s="2">
        <v>43483</v>
      </c>
      <c r="F151" s="4">
        <v>505.31</v>
      </c>
      <c r="G151" s="4">
        <v>31.98</v>
      </c>
      <c r="H151" s="4">
        <v>473.33</v>
      </c>
      <c r="I151" s="1" t="s">
        <v>11</v>
      </c>
    </row>
    <row r="152" spans="1:9" x14ac:dyDescent="0.45">
      <c r="A152" s="1" t="s">
        <v>180</v>
      </c>
      <c r="B152" s="1" t="s">
        <v>181</v>
      </c>
      <c r="C152" s="1">
        <v>5</v>
      </c>
      <c r="D152" s="2">
        <v>43306</v>
      </c>
      <c r="E152" s="2">
        <v>43483</v>
      </c>
      <c r="F152" s="4">
        <v>0</v>
      </c>
      <c r="G152" s="4">
        <v>1156.6300000000001</v>
      </c>
      <c r="H152" s="4">
        <v>-1156.6300000000001</v>
      </c>
      <c r="I152" s="1" t="s">
        <v>11</v>
      </c>
    </row>
    <row r="153" spans="1:9" x14ac:dyDescent="0.45">
      <c r="A153" s="1" t="s">
        <v>180</v>
      </c>
      <c r="B153" s="1" t="s">
        <v>181</v>
      </c>
      <c r="C153" s="1">
        <v>5</v>
      </c>
      <c r="D153" s="2">
        <v>43307</v>
      </c>
      <c r="E153" s="2">
        <v>43483</v>
      </c>
      <c r="F153" s="4">
        <v>0</v>
      </c>
      <c r="G153" s="4">
        <v>1567.68</v>
      </c>
      <c r="H153" s="4">
        <v>-1567.68</v>
      </c>
      <c r="I153" s="1" t="s">
        <v>11</v>
      </c>
    </row>
    <row r="154" spans="1:9" x14ac:dyDescent="0.45">
      <c r="A154" s="1" t="s">
        <v>180</v>
      </c>
      <c r="B154" s="1" t="s">
        <v>181</v>
      </c>
      <c r="C154" s="1">
        <v>40</v>
      </c>
      <c r="D154" s="2">
        <v>43390</v>
      </c>
      <c r="E154" s="2">
        <v>43483</v>
      </c>
      <c r="F154" s="4">
        <v>0</v>
      </c>
      <c r="G154" s="4">
        <v>2107.37</v>
      </c>
      <c r="H154" s="4">
        <v>-2107.37</v>
      </c>
      <c r="I154" s="1" t="s">
        <v>11</v>
      </c>
    </row>
    <row r="155" spans="1:9" x14ac:dyDescent="0.45">
      <c r="A155" s="1" t="s">
        <v>180</v>
      </c>
      <c r="B155" s="1" t="s">
        <v>181</v>
      </c>
      <c r="C155" s="1">
        <v>10</v>
      </c>
      <c r="D155" s="2">
        <v>43446</v>
      </c>
      <c r="E155" s="2">
        <v>43483</v>
      </c>
      <c r="F155" s="4">
        <v>0</v>
      </c>
      <c r="G155" s="4">
        <v>351.79</v>
      </c>
      <c r="H155" s="4">
        <v>-351.79</v>
      </c>
      <c r="I155" s="1" t="s">
        <v>11</v>
      </c>
    </row>
    <row r="156" spans="1:9" x14ac:dyDescent="0.45">
      <c r="A156" s="1" t="s">
        <v>180</v>
      </c>
      <c r="B156" s="1" t="s">
        <v>181</v>
      </c>
      <c r="C156" s="1">
        <v>10</v>
      </c>
      <c r="D156" s="2">
        <v>43447</v>
      </c>
      <c r="E156" s="2">
        <v>43483</v>
      </c>
      <c r="F156" s="4">
        <v>0</v>
      </c>
      <c r="G156" s="4">
        <v>311.79000000000002</v>
      </c>
      <c r="H156" s="4">
        <v>-311.79000000000002</v>
      </c>
      <c r="I156" s="1" t="s">
        <v>11</v>
      </c>
    </row>
    <row r="157" spans="1:9" x14ac:dyDescent="0.45">
      <c r="A157" s="1" t="s">
        <v>180</v>
      </c>
      <c r="B157" s="1" t="s">
        <v>181</v>
      </c>
      <c r="C157" s="1">
        <v>10</v>
      </c>
      <c r="D157" s="2">
        <v>43469</v>
      </c>
      <c r="E157" s="2">
        <v>43483</v>
      </c>
      <c r="F157" s="4">
        <v>0</v>
      </c>
      <c r="G157" s="4">
        <v>35.29</v>
      </c>
      <c r="H157" s="4">
        <v>-35.29</v>
      </c>
      <c r="I157" s="1" t="s">
        <v>11</v>
      </c>
    </row>
    <row r="158" spans="1:9" x14ac:dyDescent="0.45">
      <c r="A158" s="1" t="s">
        <v>180</v>
      </c>
      <c r="B158" s="1" t="s">
        <v>181</v>
      </c>
      <c r="C158" s="1">
        <v>1</v>
      </c>
      <c r="D158" s="2">
        <v>43469</v>
      </c>
      <c r="E158" s="2">
        <v>43483</v>
      </c>
      <c r="F158" s="4">
        <v>0</v>
      </c>
      <c r="G158" s="4">
        <v>5.03</v>
      </c>
      <c r="H158" s="4">
        <v>-5.03</v>
      </c>
      <c r="I158" s="1" t="s">
        <v>11</v>
      </c>
    </row>
    <row r="159" spans="1:9" x14ac:dyDescent="0.45">
      <c r="A159" s="1" t="s">
        <v>180</v>
      </c>
      <c r="B159" s="1" t="s">
        <v>181</v>
      </c>
      <c r="C159" s="1">
        <v>46</v>
      </c>
      <c r="D159" s="2">
        <v>43469</v>
      </c>
      <c r="E159" s="2">
        <v>43483</v>
      </c>
      <c r="F159" s="4">
        <v>0</v>
      </c>
      <c r="G159" s="4">
        <v>239.88</v>
      </c>
      <c r="H159" s="4">
        <v>-239.88</v>
      </c>
      <c r="I159" s="1" t="s">
        <v>11</v>
      </c>
    </row>
    <row r="160" spans="1:9" x14ac:dyDescent="0.45">
      <c r="A160" s="1" t="s">
        <v>180</v>
      </c>
      <c r="B160" s="1" t="s">
        <v>181</v>
      </c>
      <c r="C160" s="1">
        <v>6</v>
      </c>
      <c r="D160" s="2">
        <v>43469</v>
      </c>
      <c r="E160" s="2">
        <v>43483</v>
      </c>
      <c r="F160" s="4">
        <v>0</v>
      </c>
      <c r="G160" s="4">
        <v>31.71</v>
      </c>
      <c r="H160" s="4">
        <v>-31.71</v>
      </c>
      <c r="I160" s="1" t="s">
        <v>11</v>
      </c>
    </row>
    <row r="161" spans="1:9" x14ac:dyDescent="0.45">
      <c r="A161" s="1" t="s">
        <v>180</v>
      </c>
      <c r="B161" s="1" t="s">
        <v>181</v>
      </c>
      <c r="C161" s="1">
        <v>14</v>
      </c>
      <c r="D161" s="2">
        <v>43469</v>
      </c>
      <c r="E161" s="2">
        <v>43483</v>
      </c>
      <c r="F161" s="4">
        <v>0</v>
      </c>
      <c r="G161" s="4">
        <v>73.98</v>
      </c>
      <c r="H161" s="4">
        <v>-73.98</v>
      </c>
      <c r="I161" s="1" t="s">
        <v>11</v>
      </c>
    </row>
    <row r="162" spans="1:9" x14ac:dyDescent="0.45">
      <c r="A162" s="1" t="s">
        <v>180</v>
      </c>
      <c r="B162" s="1" t="s">
        <v>181</v>
      </c>
      <c r="C162" s="1">
        <v>46</v>
      </c>
      <c r="D162" s="2">
        <v>43469</v>
      </c>
      <c r="E162" s="2">
        <v>43483</v>
      </c>
      <c r="F162" s="4">
        <v>0</v>
      </c>
      <c r="G162" s="4">
        <v>243.08</v>
      </c>
      <c r="H162" s="4">
        <v>-243.08</v>
      </c>
      <c r="I162" s="1" t="s">
        <v>11</v>
      </c>
    </row>
    <row r="163" spans="1:9" x14ac:dyDescent="0.45">
      <c r="A163" s="1" t="s">
        <v>180</v>
      </c>
      <c r="B163" s="1" t="s">
        <v>181</v>
      </c>
      <c r="C163" s="1">
        <v>7</v>
      </c>
      <c r="D163" s="2">
        <v>43469</v>
      </c>
      <c r="E163" s="2">
        <v>43483</v>
      </c>
      <c r="F163" s="4">
        <v>0</v>
      </c>
      <c r="G163" s="4">
        <v>36.99</v>
      </c>
      <c r="H163" s="4">
        <v>-36.99</v>
      </c>
      <c r="I163" s="1" t="s">
        <v>11</v>
      </c>
    </row>
    <row r="164" spans="1:9" x14ac:dyDescent="0.45">
      <c r="A164" s="1" t="s">
        <v>32</v>
      </c>
      <c r="B164" s="1" t="s">
        <v>33</v>
      </c>
      <c r="C164" s="1">
        <v>1</v>
      </c>
      <c r="D164" s="2">
        <v>43461</v>
      </c>
      <c r="E164" s="2">
        <v>43482</v>
      </c>
      <c r="F164" s="4">
        <v>194.36</v>
      </c>
      <c r="G164" s="4">
        <v>48.98</v>
      </c>
      <c r="H164" s="4">
        <v>145.38</v>
      </c>
      <c r="I164" s="1" t="s">
        <v>11</v>
      </c>
    </row>
    <row r="165" spans="1:9" x14ac:dyDescent="0.45">
      <c r="A165" s="1" t="s">
        <v>204</v>
      </c>
      <c r="B165" s="1" t="s">
        <v>205</v>
      </c>
      <c r="C165" s="1">
        <v>1</v>
      </c>
      <c r="D165" s="2">
        <v>43472</v>
      </c>
      <c r="E165" s="2">
        <v>43475</v>
      </c>
      <c r="F165" s="4">
        <v>324.36</v>
      </c>
      <c r="G165" s="4">
        <v>36.979999999999997</v>
      </c>
      <c r="H165" s="4">
        <v>287.38</v>
      </c>
      <c r="I165" s="1" t="s">
        <v>11</v>
      </c>
    </row>
    <row r="166" spans="1:9" x14ac:dyDescent="0.45">
      <c r="A166" s="1" t="s">
        <v>234</v>
      </c>
      <c r="B166" s="1" t="s">
        <v>235</v>
      </c>
      <c r="C166" s="1">
        <v>1</v>
      </c>
      <c r="D166" s="2">
        <v>43472</v>
      </c>
      <c r="E166" s="2">
        <v>43472</v>
      </c>
      <c r="F166" s="4">
        <v>329.31</v>
      </c>
      <c r="G166" s="4">
        <v>330.63</v>
      </c>
      <c r="H166" s="4">
        <v>-1.32</v>
      </c>
      <c r="I166" s="1" t="s">
        <v>11</v>
      </c>
    </row>
    <row r="167" spans="1:9" x14ac:dyDescent="0.45">
      <c r="A167" s="1" t="s">
        <v>236</v>
      </c>
      <c r="B167" s="1" t="s">
        <v>237</v>
      </c>
      <c r="C167" s="1">
        <v>1</v>
      </c>
      <c r="D167" s="2">
        <v>43472</v>
      </c>
      <c r="E167" s="2">
        <v>43472</v>
      </c>
      <c r="F167" s="4">
        <v>15.01</v>
      </c>
      <c r="G167" s="4">
        <v>37.979999999999997</v>
      </c>
      <c r="H167" s="4">
        <v>-22.97</v>
      </c>
      <c r="I167" s="1" t="s">
        <v>11</v>
      </c>
    </row>
    <row r="168" spans="1:9" x14ac:dyDescent="0.45">
      <c r="A168" s="1" t="s">
        <v>232</v>
      </c>
      <c r="B168" s="1" t="s">
        <v>233</v>
      </c>
      <c r="C168" s="1">
        <v>3</v>
      </c>
      <c r="D168" s="2">
        <v>43460</v>
      </c>
      <c r="E168" s="2">
        <v>43469</v>
      </c>
      <c r="F168" s="4">
        <v>367.99</v>
      </c>
      <c r="G168" s="4">
        <v>0</v>
      </c>
      <c r="H168" s="4">
        <v>367.99</v>
      </c>
      <c r="I168" s="1" t="s">
        <v>11</v>
      </c>
    </row>
    <row r="169" spans="1:9" x14ac:dyDescent="0.45">
      <c r="H169" s="4" t="e">
        <f>SUM(#REF!)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"/>
  <sheetViews>
    <sheetView tabSelected="1" workbookViewId="0">
      <selection activeCell="B31" sqref="B31"/>
    </sheetView>
  </sheetViews>
  <sheetFormatPr defaultRowHeight="14.25" x14ac:dyDescent="0.45"/>
  <cols>
    <col min="1" max="1" width="34.6640625" style="1" customWidth="1"/>
    <col min="2" max="2" width="72.265625" style="1" customWidth="1"/>
    <col min="3" max="3" width="7.6640625" style="1" bestFit="1" customWidth="1"/>
    <col min="4" max="4" width="11.9296875" style="1" bestFit="1" customWidth="1"/>
    <col min="5" max="5" width="9.19921875" style="1" bestFit="1" customWidth="1"/>
    <col min="6" max="7" width="11.265625" style="1" bestFit="1" customWidth="1"/>
    <col min="8" max="8" width="17.6640625" style="1" bestFit="1" customWidth="1"/>
    <col min="9" max="9" width="0" style="1" hidden="1" customWidth="1"/>
    <col min="10" max="10" width="9.265625" style="1" bestFit="1" customWidth="1"/>
    <col min="11" max="16384" width="9.06640625" style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1" t="s">
        <v>34</v>
      </c>
      <c r="B2" s="1" t="s">
        <v>35</v>
      </c>
      <c r="C2" s="1">
        <v>1</v>
      </c>
      <c r="D2" s="2">
        <v>43626</v>
      </c>
      <c r="E2" s="2">
        <v>43637</v>
      </c>
      <c r="F2" s="4">
        <v>0</v>
      </c>
      <c r="G2" s="4">
        <v>1217.6400000000001</v>
      </c>
      <c r="H2" s="4">
        <v>-1217.6400000000001</v>
      </c>
      <c r="I2" s="1" t="s">
        <v>11</v>
      </c>
    </row>
    <row r="3" spans="1:9" x14ac:dyDescent="0.45">
      <c r="A3" s="1" t="s">
        <v>38</v>
      </c>
      <c r="B3" s="1" t="s">
        <v>39</v>
      </c>
      <c r="C3" s="1">
        <v>1</v>
      </c>
      <c r="D3" s="2">
        <v>43626</v>
      </c>
      <c r="E3" s="2">
        <v>43637</v>
      </c>
      <c r="F3" s="4">
        <v>0</v>
      </c>
      <c r="G3" s="4">
        <v>2155.64</v>
      </c>
      <c r="H3" s="4">
        <v>-2155.64</v>
      </c>
      <c r="I3" s="1" t="s">
        <v>11</v>
      </c>
    </row>
    <row r="4" spans="1:9" x14ac:dyDescent="0.45">
      <c r="A4" s="1" t="s">
        <v>38</v>
      </c>
      <c r="B4" s="1" t="s">
        <v>39</v>
      </c>
      <c r="C4" s="1">
        <v>4</v>
      </c>
      <c r="D4" s="2">
        <v>43627</v>
      </c>
      <c r="E4" s="2">
        <v>43637</v>
      </c>
      <c r="F4" s="4">
        <v>0</v>
      </c>
      <c r="G4" s="4">
        <v>1111.71</v>
      </c>
      <c r="H4" s="4">
        <v>-1111.71</v>
      </c>
      <c r="I4" s="1" t="s">
        <v>11</v>
      </c>
    </row>
    <row r="5" spans="1:9" x14ac:dyDescent="0.45">
      <c r="A5" s="1" t="s">
        <v>38</v>
      </c>
      <c r="B5" s="1" t="s">
        <v>39</v>
      </c>
      <c r="C5" s="1">
        <v>1</v>
      </c>
      <c r="D5" s="2">
        <v>43630</v>
      </c>
      <c r="E5" s="2">
        <v>43637</v>
      </c>
      <c r="F5" s="4">
        <v>0</v>
      </c>
      <c r="G5" s="4">
        <v>281.64</v>
      </c>
      <c r="H5" s="4">
        <v>-281.64</v>
      </c>
      <c r="I5" s="1" t="s">
        <v>11</v>
      </c>
    </row>
    <row r="6" spans="1:9" x14ac:dyDescent="0.45">
      <c r="A6" s="1" t="s">
        <v>136</v>
      </c>
      <c r="B6" s="1" t="s">
        <v>137</v>
      </c>
      <c r="C6" s="1">
        <v>20</v>
      </c>
      <c r="D6" s="2">
        <v>43627</v>
      </c>
      <c r="E6" s="2">
        <v>43637</v>
      </c>
      <c r="F6" s="4">
        <v>0</v>
      </c>
      <c r="G6" s="4">
        <v>1018.73</v>
      </c>
      <c r="H6" s="4">
        <v>-1018.73</v>
      </c>
      <c r="I6" s="1" t="s">
        <v>11</v>
      </c>
    </row>
    <row r="7" spans="1:9" x14ac:dyDescent="0.45">
      <c r="A7" s="1" t="s">
        <v>260</v>
      </c>
      <c r="B7" s="1" t="s">
        <v>261</v>
      </c>
      <c r="C7" s="1">
        <v>10</v>
      </c>
      <c r="D7" s="2">
        <v>43572</v>
      </c>
      <c r="E7" s="2">
        <v>43637</v>
      </c>
      <c r="F7" s="4">
        <v>0</v>
      </c>
      <c r="G7" s="4">
        <v>1241.8399999999999</v>
      </c>
      <c r="H7" s="4">
        <v>-1241.8399999999999</v>
      </c>
      <c r="I7" s="1" t="s">
        <v>11</v>
      </c>
    </row>
    <row r="8" spans="1:9" x14ac:dyDescent="0.45">
      <c r="A8" s="1" t="s">
        <v>130</v>
      </c>
      <c r="B8" s="1" t="s">
        <v>131</v>
      </c>
      <c r="C8" s="1">
        <v>5</v>
      </c>
      <c r="D8" s="2">
        <v>43622</v>
      </c>
      <c r="E8" s="2">
        <v>43636</v>
      </c>
      <c r="F8" s="4">
        <v>541.59</v>
      </c>
      <c r="G8" s="4">
        <v>468.39</v>
      </c>
      <c r="H8" s="4">
        <v>73.2</v>
      </c>
      <c r="I8" s="1" t="s">
        <v>11</v>
      </c>
    </row>
    <row r="9" spans="1:9" x14ac:dyDescent="0.45">
      <c r="A9" s="1" t="s">
        <v>26</v>
      </c>
      <c r="B9" s="1" t="s">
        <v>27</v>
      </c>
      <c r="C9" s="1">
        <v>3</v>
      </c>
      <c r="D9" s="2">
        <v>43613</v>
      </c>
      <c r="E9" s="2">
        <v>43635</v>
      </c>
      <c r="F9" s="4">
        <v>1378.95</v>
      </c>
      <c r="G9" s="4">
        <v>824.07</v>
      </c>
      <c r="H9" s="4">
        <v>554.88</v>
      </c>
      <c r="I9" s="1" t="s">
        <v>11</v>
      </c>
    </row>
    <row r="10" spans="1:9" x14ac:dyDescent="0.45">
      <c r="A10" s="1" t="s">
        <v>40</v>
      </c>
      <c r="B10" s="1" t="s">
        <v>41</v>
      </c>
      <c r="C10" s="1">
        <v>2</v>
      </c>
      <c r="D10" s="2">
        <v>43630</v>
      </c>
      <c r="E10" s="2">
        <v>43635</v>
      </c>
      <c r="F10" s="4">
        <v>396.96</v>
      </c>
      <c r="G10" s="4">
        <v>316.33</v>
      </c>
      <c r="H10" s="4">
        <v>80.63</v>
      </c>
      <c r="I10" s="1" t="s">
        <v>11</v>
      </c>
    </row>
    <row r="11" spans="1:9" x14ac:dyDescent="0.45">
      <c r="A11" s="1" t="s">
        <v>40</v>
      </c>
      <c r="B11" s="1" t="s">
        <v>41</v>
      </c>
      <c r="C11" s="1">
        <v>4</v>
      </c>
      <c r="D11" s="2">
        <v>43630</v>
      </c>
      <c r="E11" s="2">
        <v>43635</v>
      </c>
      <c r="F11" s="4">
        <v>793.93</v>
      </c>
      <c r="G11" s="4">
        <v>606.71</v>
      </c>
      <c r="H11" s="4">
        <v>187.22</v>
      </c>
      <c r="I11" s="1" t="s">
        <v>11</v>
      </c>
    </row>
    <row r="12" spans="1:9" x14ac:dyDescent="0.45">
      <c r="A12" s="1" t="s">
        <v>40</v>
      </c>
      <c r="B12" s="1" t="s">
        <v>41</v>
      </c>
      <c r="C12" s="1">
        <v>1</v>
      </c>
      <c r="D12" s="2">
        <v>43630</v>
      </c>
      <c r="E12" s="2">
        <v>43635</v>
      </c>
      <c r="F12" s="4">
        <v>193.3</v>
      </c>
      <c r="G12" s="4">
        <v>151.68</v>
      </c>
      <c r="H12" s="4">
        <v>41.62</v>
      </c>
      <c r="I12" s="1" t="s">
        <v>11</v>
      </c>
    </row>
    <row r="13" spans="1:9" x14ac:dyDescent="0.45">
      <c r="A13" s="1" t="s">
        <v>192</v>
      </c>
      <c r="B13" s="1" t="s">
        <v>193</v>
      </c>
      <c r="C13" s="1">
        <v>2</v>
      </c>
      <c r="D13" s="2">
        <v>43633</v>
      </c>
      <c r="E13" s="2">
        <v>43635</v>
      </c>
      <c r="F13" s="4">
        <v>548.6</v>
      </c>
      <c r="G13" s="4">
        <v>504.33</v>
      </c>
      <c r="H13" s="4">
        <v>44.27</v>
      </c>
      <c r="I13" s="1" t="s">
        <v>11</v>
      </c>
    </row>
    <row r="14" spans="1:9" x14ac:dyDescent="0.45">
      <c r="A14" s="1" t="s">
        <v>28</v>
      </c>
      <c r="B14" s="1" t="s">
        <v>29</v>
      </c>
      <c r="C14" s="1">
        <v>3</v>
      </c>
      <c r="D14" s="2">
        <v>43613</v>
      </c>
      <c r="E14" s="2">
        <v>43630</v>
      </c>
      <c r="F14" s="4">
        <v>1225.95</v>
      </c>
      <c r="G14" s="4">
        <v>787.02</v>
      </c>
      <c r="H14" s="4">
        <v>438.93</v>
      </c>
      <c r="I14" s="1" t="s">
        <v>11</v>
      </c>
    </row>
    <row r="15" spans="1:9" x14ac:dyDescent="0.45">
      <c r="A15" s="1" t="s">
        <v>194</v>
      </c>
      <c r="B15" s="1" t="s">
        <v>195</v>
      </c>
      <c r="C15" s="1">
        <v>50</v>
      </c>
      <c r="D15" s="2">
        <v>43626</v>
      </c>
      <c r="E15" s="2">
        <v>43630</v>
      </c>
      <c r="F15" s="4">
        <v>2066.7600000000002</v>
      </c>
      <c r="G15" s="4">
        <v>2009.73</v>
      </c>
      <c r="H15" s="4">
        <v>57.03</v>
      </c>
      <c r="I15" s="1" t="s">
        <v>11</v>
      </c>
    </row>
    <row r="16" spans="1:9" x14ac:dyDescent="0.45">
      <c r="A16" s="1" t="s">
        <v>36</v>
      </c>
      <c r="B16" s="1" t="s">
        <v>37</v>
      </c>
      <c r="C16" s="1">
        <v>1</v>
      </c>
      <c r="D16" s="2">
        <v>43626</v>
      </c>
      <c r="E16" s="2">
        <v>43627</v>
      </c>
      <c r="F16" s="4">
        <v>752.29</v>
      </c>
      <c r="G16" s="4">
        <v>353.64</v>
      </c>
      <c r="H16" s="4">
        <v>398.65</v>
      </c>
      <c r="I16" s="1" t="s">
        <v>11</v>
      </c>
    </row>
    <row r="17" spans="1:9" x14ac:dyDescent="0.45">
      <c r="A17" s="1" t="s">
        <v>72</v>
      </c>
      <c r="B17" s="1" t="s">
        <v>73</v>
      </c>
      <c r="C17" s="1">
        <v>1</v>
      </c>
      <c r="D17" s="2">
        <v>43622</v>
      </c>
      <c r="E17" s="2">
        <v>43627</v>
      </c>
      <c r="F17" s="4">
        <v>484.34</v>
      </c>
      <c r="G17" s="4">
        <v>466.64</v>
      </c>
      <c r="H17" s="4">
        <v>17.7</v>
      </c>
      <c r="I17" s="1" t="s">
        <v>11</v>
      </c>
    </row>
    <row r="18" spans="1:9" x14ac:dyDescent="0.45">
      <c r="A18" s="1" t="s">
        <v>138</v>
      </c>
      <c r="B18" s="1" t="s">
        <v>139</v>
      </c>
      <c r="C18" s="1">
        <v>20</v>
      </c>
      <c r="D18" s="2">
        <v>43622</v>
      </c>
      <c r="E18" s="2">
        <v>43627</v>
      </c>
      <c r="F18" s="4">
        <v>1721.23</v>
      </c>
      <c r="G18" s="4">
        <v>598.73</v>
      </c>
      <c r="H18" s="4">
        <v>1122.5</v>
      </c>
      <c r="I18" s="1" t="s">
        <v>11</v>
      </c>
    </row>
    <row r="19" spans="1:9" x14ac:dyDescent="0.45">
      <c r="A19" s="1" t="s">
        <v>134</v>
      </c>
      <c r="B19" s="1" t="s">
        <v>135</v>
      </c>
      <c r="C19" s="1">
        <v>10</v>
      </c>
      <c r="D19" s="2">
        <v>43607</v>
      </c>
      <c r="E19" s="2">
        <v>43626</v>
      </c>
      <c r="F19" s="4">
        <v>851.44</v>
      </c>
      <c r="G19" s="4">
        <v>551.84</v>
      </c>
      <c r="H19" s="4">
        <v>299.60000000000002</v>
      </c>
      <c r="I19" s="1" t="s">
        <v>11</v>
      </c>
    </row>
    <row r="20" spans="1:9" x14ac:dyDescent="0.45">
      <c r="A20" s="1" t="s">
        <v>134</v>
      </c>
      <c r="B20" s="1" t="s">
        <v>135</v>
      </c>
      <c r="C20" s="1">
        <v>10</v>
      </c>
      <c r="D20" s="2">
        <v>43608</v>
      </c>
      <c r="E20" s="2">
        <v>43626</v>
      </c>
      <c r="F20" s="4">
        <v>851.44</v>
      </c>
      <c r="G20" s="4">
        <v>471.84</v>
      </c>
      <c r="H20" s="4">
        <v>379.6</v>
      </c>
      <c r="I20" s="1" t="s">
        <v>11</v>
      </c>
    </row>
    <row r="21" spans="1:9" x14ac:dyDescent="0.45">
      <c r="A21" s="1" t="s">
        <v>134</v>
      </c>
      <c r="B21" s="1" t="s">
        <v>135</v>
      </c>
      <c r="C21" s="1">
        <v>10</v>
      </c>
      <c r="D21" s="2">
        <v>43622</v>
      </c>
      <c r="E21" s="2">
        <v>43626</v>
      </c>
      <c r="F21" s="4">
        <v>851.45</v>
      </c>
      <c r="G21" s="4">
        <v>806.89</v>
      </c>
      <c r="H21" s="4">
        <v>44.56</v>
      </c>
      <c r="I21" s="1" t="s">
        <v>11</v>
      </c>
    </row>
    <row r="22" spans="1:9" x14ac:dyDescent="0.45">
      <c r="A22" s="1" t="s">
        <v>122</v>
      </c>
      <c r="B22" s="1" t="s">
        <v>123</v>
      </c>
      <c r="C22" s="1">
        <v>600</v>
      </c>
      <c r="D22" s="2">
        <v>43588</v>
      </c>
      <c r="E22" s="2">
        <v>43622</v>
      </c>
      <c r="F22" s="4">
        <v>5198.9799999999996</v>
      </c>
      <c r="G22" s="4">
        <v>4497.47</v>
      </c>
      <c r="H22" s="4">
        <v>701.51</v>
      </c>
      <c r="I22" s="1" t="s">
        <v>11</v>
      </c>
    </row>
    <row r="23" spans="1:9" x14ac:dyDescent="0.45">
      <c r="A23" s="1" t="s">
        <v>122</v>
      </c>
      <c r="B23" s="1" t="s">
        <v>123</v>
      </c>
      <c r="C23" s="1">
        <v>200</v>
      </c>
      <c r="D23" s="2">
        <v>43588</v>
      </c>
      <c r="E23" s="2">
        <v>43622</v>
      </c>
      <c r="F23" s="4">
        <v>1735</v>
      </c>
      <c r="G23" s="4">
        <v>1499.16</v>
      </c>
      <c r="H23" s="4">
        <v>235.84</v>
      </c>
      <c r="I23" s="1" t="s">
        <v>11</v>
      </c>
    </row>
    <row r="24" spans="1:9" x14ac:dyDescent="0.45">
      <c r="A24" s="1" t="s">
        <v>122</v>
      </c>
      <c r="B24" s="1" t="s">
        <v>123</v>
      </c>
      <c r="C24" s="1">
        <v>200</v>
      </c>
      <c r="D24" s="2">
        <v>43588</v>
      </c>
      <c r="E24" s="2">
        <v>43622</v>
      </c>
      <c r="F24" s="4">
        <v>1733.96</v>
      </c>
      <c r="G24" s="4">
        <v>1499.15</v>
      </c>
      <c r="H24" s="4">
        <v>234.81</v>
      </c>
      <c r="I24" s="1" t="s">
        <v>11</v>
      </c>
    </row>
    <row r="25" spans="1:9" x14ac:dyDescent="0.45">
      <c r="A25" s="1" t="s">
        <v>128</v>
      </c>
      <c r="B25" s="1" t="s">
        <v>129</v>
      </c>
      <c r="C25" s="1">
        <v>7</v>
      </c>
      <c r="D25" s="2">
        <v>43619</v>
      </c>
      <c r="E25" s="2">
        <v>43622</v>
      </c>
      <c r="F25" s="4">
        <v>128.32</v>
      </c>
      <c r="G25" s="4">
        <v>101.74</v>
      </c>
      <c r="H25" s="4">
        <v>26.58</v>
      </c>
      <c r="I25" s="1" t="s">
        <v>11</v>
      </c>
    </row>
    <row r="26" spans="1:9" x14ac:dyDescent="0.45">
      <c r="A26" s="1" t="s">
        <v>128</v>
      </c>
      <c r="B26" s="1" t="s">
        <v>129</v>
      </c>
      <c r="C26" s="1">
        <v>3</v>
      </c>
      <c r="D26" s="2">
        <v>43619</v>
      </c>
      <c r="E26" s="2">
        <v>43622</v>
      </c>
      <c r="F26" s="4">
        <v>48.92</v>
      </c>
      <c r="G26" s="4">
        <v>43.6</v>
      </c>
      <c r="H26" s="4">
        <v>5.32</v>
      </c>
      <c r="I26" s="1" t="s">
        <v>11</v>
      </c>
    </row>
    <row r="27" spans="1:9" x14ac:dyDescent="0.45">
      <c r="A27" s="1" t="s">
        <v>74</v>
      </c>
      <c r="B27" s="1" t="s">
        <v>75</v>
      </c>
      <c r="C27" s="1">
        <v>5</v>
      </c>
      <c r="D27" s="2">
        <v>43571</v>
      </c>
      <c r="E27" s="2">
        <v>43616</v>
      </c>
      <c r="F27" s="4">
        <v>0</v>
      </c>
      <c r="G27" s="4">
        <v>743.39</v>
      </c>
      <c r="H27" s="4">
        <v>-743.39</v>
      </c>
      <c r="I27" s="1" t="s">
        <v>11</v>
      </c>
    </row>
    <row r="28" spans="1:9" x14ac:dyDescent="0.45">
      <c r="A28" s="1" t="s">
        <v>74</v>
      </c>
      <c r="B28" s="1" t="s">
        <v>75</v>
      </c>
      <c r="C28" s="1">
        <v>5</v>
      </c>
      <c r="D28" s="2">
        <v>43586</v>
      </c>
      <c r="E28" s="2">
        <v>43616</v>
      </c>
      <c r="F28" s="4">
        <v>0</v>
      </c>
      <c r="G28" s="4">
        <v>558.39</v>
      </c>
      <c r="H28" s="4">
        <v>-558.39</v>
      </c>
      <c r="I28" s="1" t="s">
        <v>11</v>
      </c>
    </row>
    <row r="29" spans="1:9" x14ac:dyDescent="0.45">
      <c r="A29" s="1" t="s">
        <v>120</v>
      </c>
      <c r="B29" s="1" t="s">
        <v>121</v>
      </c>
      <c r="C29" s="1">
        <v>5</v>
      </c>
      <c r="D29" s="2">
        <v>43580</v>
      </c>
      <c r="E29" s="2">
        <v>43609</v>
      </c>
      <c r="F29" s="4">
        <v>0</v>
      </c>
      <c r="G29" s="4">
        <v>633.39</v>
      </c>
      <c r="H29" s="4">
        <v>-633.39</v>
      </c>
      <c r="I29" s="1" t="s">
        <v>11</v>
      </c>
    </row>
    <row r="30" spans="1:9" x14ac:dyDescent="0.45">
      <c r="A30" s="1" t="s">
        <v>120</v>
      </c>
      <c r="B30" s="1" t="s">
        <v>121</v>
      </c>
      <c r="C30" s="1">
        <v>15</v>
      </c>
      <c r="D30" s="2">
        <v>43584</v>
      </c>
      <c r="E30" s="2">
        <v>43609</v>
      </c>
      <c r="F30" s="4">
        <v>0</v>
      </c>
      <c r="G30" s="4">
        <v>390.28</v>
      </c>
      <c r="H30" s="4">
        <v>-390.28</v>
      </c>
      <c r="I30" s="1" t="s">
        <v>11</v>
      </c>
    </row>
    <row r="31" spans="1:9" x14ac:dyDescent="0.45">
      <c r="A31" s="1" t="s">
        <v>120</v>
      </c>
      <c r="B31" s="1" t="s">
        <v>121</v>
      </c>
      <c r="C31" s="1">
        <v>10</v>
      </c>
      <c r="D31" s="2">
        <v>43593</v>
      </c>
      <c r="E31" s="2">
        <v>43609</v>
      </c>
      <c r="F31" s="4">
        <v>0</v>
      </c>
      <c r="G31" s="4">
        <v>281.83999999999997</v>
      </c>
      <c r="H31" s="4">
        <v>-281.83999999999997</v>
      </c>
      <c r="I31" s="1" t="s">
        <v>11</v>
      </c>
    </row>
    <row r="32" spans="1:9" x14ac:dyDescent="0.45">
      <c r="A32" s="1" t="s">
        <v>126</v>
      </c>
      <c r="B32" s="1" t="s">
        <v>127</v>
      </c>
      <c r="C32" s="1">
        <v>5</v>
      </c>
      <c r="D32" s="2">
        <v>43577</v>
      </c>
      <c r="E32" s="2">
        <v>43609</v>
      </c>
      <c r="F32" s="4">
        <v>0</v>
      </c>
      <c r="G32" s="4">
        <v>258.39</v>
      </c>
      <c r="H32" s="4">
        <v>-258.39</v>
      </c>
      <c r="I32" s="1" t="s">
        <v>11</v>
      </c>
    </row>
    <row r="33" spans="1:9" x14ac:dyDescent="0.45">
      <c r="A33" s="1" t="s">
        <v>126</v>
      </c>
      <c r="B33" s="1" t="s">
        <v>127</v>
      </c>
      <c r="C33" s="1">
        <v>5</v>
      </c>
      <c r="D33" s="2">
        <v>43577</v>
      </c>
      <c r="E33" s="2">
        <v>43609</v>
      </c>
      <c r="F33" s="4">
        <v>0</v>
      </c>
      <c r="G33" s="4">
        <v>228.39</v>
      </c>
      <c r="H33" s="4">
        <v>-228.39</v>
      </c>
      <c r="I33" s="1" t="s">
        <v>11</v>
      </c>
    </row>
    <row r="34" spans="1:9" x14ac:dyDescent="0.45">
      <c r="A34" s="1" t="s">
        <v>126</v>
      </c>
      <c r="B34" s="1" t="s">
        <v>127</v>
      </c>
      <c r="C34" s="1">
        <v>5</v>
      </c>
      <c r="D34" s="2">
        <v>43579</v>
      </c>
      <c r="E34" s="2">
        <v>43609</v>
      </c>
      <c r="F34" s="4">
        <v>0</v>
      </c>
      <c r="G34" s="4">
        <v>208.39</v>
      </c>
      <c r="H34" s="4">
        <v>-208.39</v>
      </c>
      <c r="I34" s="1" t="s">
        <v>11</v>
      </c>
    </row>
    <row r="35" spans="1:9" x14ac:dyDescent="0.45">
      <c r="A35" s="1" t="s">
        <v>176</v>
      </c>
      <c r="B35" s="1" t="s">
        <v>177</v>
      </c>
      <c r="C35" s="1">
        <v>5</v>
      </c>
      <c r="D35" s="2">
        <v>43586</v>
      </c>
      <c r="E35" s="2">
        <v>43609</v>
      </c>
      <c r="F35" s="4">
        <v>2666.55</v>
      </c>
      <c r="G35" s="4">
        <v>1978.39</v>
      </c>
      <c r="H35" s="4">
        <v>688.16</v>
      </c>
      <c r="I35" s="1" t="s">
        <v>11</v>
      </c>
    </row>
    <row r="36" spans="1:9" x14ac:dyDescent="0.45">
      <c r="A36" s="1" t="s">
        <v>158</v>
      </c>
      <c r="B36" s="1" t="s">
        <v>159</v>
      </c>
      <c r="C36" s="1">
        <v>5</v>
      </c>
      <c r="D36" s="2">
        <v>43594</v>
      </c>
      <c r="E36" s="2">
        <v>43608</v>
      </c>
      <c r="F36" s="4">
        <v>591.59</v>
      </c>
      <c r="G36" s="4">
        <v>483.39</v>
      </c>
      <c r="H36" s="4">
        <v>108.2</v>
      </c>
      <c r="I36" s="1" t="s">
        <v>11</v>
      </c>
    </row>
    <row r="37" spans="1:9" x14ac:dyDescent="0.45">
      <c r="A37" s="1" t="s">
        <v>124</v>
      </c>
      <c r="B37" s="1" t="s">
        <v>125</v>
      </c>
      <c r="C37" s="1">
        <v>1</v>
      </c>
      <c r="D37" s="2">
        <v>43573</v>
      </c>
      <c r="E37" s="2">
        <v>43602</v>
      </c>
      <c r="F37" s="4">
        <v>0</v>
      </c>
      <c r="G37" s="4">
        <v>84.99</v>
      </c>
      <c r="H37" s="4">
        <v>-84.99</v>
      </c>
      <c r="I37" s="1" t="s">
        <v>11</v>
      </c>
    </row>
    <row r="38" spans="1:9" x14ac:dyDescent="0.45">
      <c r="A38" s="1" t="s">
        <v>124</v>
      </c>
      <c r="B38" s="1" t="s">
        <v>125</v>
      </c>
      <c r="C38" s="1">
        <v>4</v>
      </c>
      <c r="D38" s="2">
        <v>43573</v>
      </c>
      <c r="E38" s="2">
        <v>43602</v>
      </c>
      <c r="F38" s="4">
        <v>0</v>
      </c>
      <c r="G38" s="4">
        <v>327.41000000000003</v>
      </c>
      <c r="H38" s="4">
        <v>-327.41000000000003</v>
      </c>
      <c r="I38" s="1" t="s">
        <v>11</v>
      </c>
    </row>
    <row r="39" spans="1:9" x14ac:dyDescent="0.45">
      <c r="A39" s="1" t="s">
        <v>124</v>
      </c>
      <c r="B39" s="1" t="s">
        <v>125</v>
      </c>
      <c r="C39" s="1">
        <v>5</v>
      </c>
      <c r="D39" s="2">
        <v>43577</v>
      </c>
      <c r="E39" s="2">
        <v>43602</v>
      </c>
      <c r="F39" s="4">
        <v>0</v>
      </c>
      <c r="G39" s="4">
        <v>243.39</v>
      </c>
      <c r="H39" s="4">
        <v>-243.39</v>
      </c>
      <c r="I39" s="1" t="s">
        <v>11</v>
      </c>
    </row>
    <row r="40" spans="1:9" x14ac:dyDescent="0.45">
      <c r="A40" s="1" t="s">
        <v>124</v>
      </c>
      <c r="B40" s="1" t="s">
        <v>125</v>
      </c>
      <c r="C40" s="1">
        <v>2</v>
      </c>
      <c r="D40" s="2">
        <v>43598</v>
      </c>
      <c r="E40" s="2">
        <v>43602</v>
      </c>
      <c r="F40" s="4">
        <v>0</v>
      </c>
      <c r="G40" s="4">
        <v>27.03</v>
      </c>
      <c r="H40" s="4">
        <v>-27.03</v>
      </c>
      <c r="I40" s="1" t="s">
        <v>11</v>
      </c>
    </row>
    <row r="41" spans="1:9" x14ac:dyDescent="0.45">
      <c r="A41" s="1" t="s">
        <v>124</v>
      </c>
      <c r="B41" s="1" t="s">
        <v>125</v>
      </c>
      <c r="C41" s="1">
        <v>8</v>
      </c>
      <c r="D41" s="2">
        <v>43598</v>
      </c>
      <c r="E41" s="2">
        <v>43602</v>
      </c>
      <c r="F41" s="4">
        <v>0</v>
      </c>
      <c r="G41" s="4">
        <v>88.86</v>
      </c>
      <c r="H41" s="4">
        <v>-88.86</v>
      </c>
      <c r="I41" s="1" t="s">
        <v>11</v>
      </c>
    </row>
    <row r="42" spans="1:9" x14ac:dyDescent="0.45">
      <c r="A42" s="1" t="s">
        <v>174</v>
      </c>
      <c r="B42" s="1" t="s">
        <v>175</v>
      </c>
      <c r="C42" s="1">
        <v>5</v>
      </c>
      <c r="D42" s="2">
        <v>43515</v>
      </c>
      <c r="E42" s="2">
        <v>43602</v>
      </c>
      <c r="F42" s="4">
        <v>0</v>
      </c>
      <c r="G42" s="4">
        <v>783.39</v>
      </c>
      <c r="H42" s="4">
        <v>-783.39</v>
      </c>
      <c r="I42" s="1" t="s">
        <v>11</v>
      </c>
    </row>
    <row r="43" spans="1:9" x14ac:dyDescent="0.45">
      <c r="A43" s="1" t="s">
        <v>174</v>
      </c>
      <c r="B43" s="1" t="s">
        <v>175</v>
      </c>
      <c r="C43" s="1">
        <v>3</v>
      </c>
      <c r="D43" s="2">
        <v>43592</v>
      </c>
      <c r="E43" s="2">
        <v>43602</v>
      </c>
      <c r="F43" s="4">
        <v>0</v>
      </c>
      <c r="G43" s="4">
        <v>367.02</v>
      </c>
      <c r="H43" s="4">
        <v>-367.02</v>
      </c>
      <c r="I43" s="1" t="s">
        <v>11</v>
      </c>
    </row>
    <row r="44" spans="1:9" x14ac:dyDescent="0.45">
      <c r="A44" s="1" t="s">
        <v>182</v>
      </c>
      <c r="B44" s="1" t="s">
        <v>183</v>
      </c>
      <c r="C44" s="1">
        <v>5</v>
      </c>
      <c r="D44" s="2">
        <v>43592</v>
      </c>
      <c r="E44" s="2">
        <v>43602</v>
      </c>
      <c r="F44" s="4">
        <v>0</v>
      </c>
      <c r="G44" s="4">
        <v>988.39</v>
      </c>
      <c r="H44" s="4">
        <v>-988.39</v>
      </c>
      <c r="I44" s="1" t="s">
        <v>11</v>
      </c>
    </row>
    <row r="45" spans="1:9" x14ac:dyDescent="0.45">
      <c r="A45" s="1" t="s">
        <v>184</v>
      </c>
      <c r="B45" s="1" t="s">
        <v>185</v>
      </c>
      <c r="C45" s="1">
        <v>2</v>
      </c>
      <c r="D45" s="2">
        <v>43586</v>
      </c>
      <c r="E45" s="2">
        <v>43602</v>
      </c>
      <c r="F45" s="4">
        <v>0</v>
      </c>
      <c r="G45" s="4">
        <v>342.33</v>
      </c>
      <c r="H45" s="4">
        <v>-342.33</v>
      </c>
      <c r="I45" s="1" t="s">
        <v>11</v>
      </c>
    </row>
    <row r="46" spans="1:9" x14ac:dyDescent="0.45">
      <c r="A46" s="1" t="s">
        <v>184</v>
      </c>
      <c r="B46" s="1" t="s">
        <v>185</v>
      </c>
      <c r="C46" s="1">
        <v>3</v>
      </c>
      <c r="D46" s="2">
        <v>43587</v>
      </c>
      <c r="E46" s="2">
        <v>43602</v>
      </c>
      <c r="F46" s="4">
        <v>0</v>
      </c>
      <c r="G46" s="4">
        <v>400.02</v>
      </c>
      <c r="H46" s="4">
        <v>-400.02</v>
      </c>
      <c r="I46" s="1" t="s">
        <v>11</v>
      </c>
    </row>
    <row r="47" spans="1:9" x14ac:dyDescent="0.45">
      <c r="A47" s="1" t="s">
        <v>184</v>
      </c>
      <c r="B47" s="1" t="s">
        <v>185</v>
      </c>
      <c r="C47" s="1">
        <v>5</v>
      </c>
      <c r="D47" s="2">
        <v>43593</v>
      </c>
      <c r="E47" s="2">
        <v>43602</v>
      </c>
      <c r="F47" s="4">
        <v>0</v>
      </c>
      <c r="G47" s="4">
        <v>120.94</v>
      </c>
      <c r="H47" s="4">
        <v>-120.94</v>
      </c>
      <c r="I47" s="1" t="s">
        <v>11</v>
      </c>
    </row>
    <row r="48" spans="1:9" x14ac:dyDescent="0.45">
      <c r="A48" s="1" t="s">
        <v>216</v>
      </c>
      <c r="B48" s="1" t="s">
        <v>217</v>
      </c>
      <c r="C48" s="1">
        <v>5</v>
      </c>
      <c r="D48" s="2">
        <v>43586</v>
      </c>
      <c r="E48" s="2">
        <v>43602</v>
      </c>
      <c r="F48" s="4">
        <v>0</v>
      </c>
      <c r="G48" s="4">
        <v>1583.39</v>
      </c>
      <c r="H48" s="4">
        <v>-1583.39</v>
      </c>
      <c r="I48" s="1" t="s">
        <v>11</v>
      </c>
    </row>
    <row r="49" spans="1:9" x14ac:dyDescent="0.45">
      <c r="A49" s="1" t="s">
        <v>216</v>
      </c>
      <c r="B49" s="1" t="s">
        <v>217</v>
      </c>
      <c r="C49" s="1">
        <v>10</v>
      </c>
      <c r="D49" s="2">
        <v>43591</v>
      </c>
      <c r="E49" s="2">
        <v>43602</v>
      </c>
      <c r="F49" s="4">
        <v>0</v>
      </c>
      <c r="G49" s="4">
        <v>511.84</v>
      </c>
      <c r="H49" s="4">
        <v>-511.84</v>
      </c>
      <c r="I49" s="1" t="s">
        <v>11</v>
      </c>
    </row>
    <row r="50" spans="1:9" x14ac:dyDescent="0.45">
      <c r="A50" s="1" t="s">
        <v>258</v>
      </c>
      <c r="B50" s="1" t="s">
        <v>259</v>
      </c>
      <c r="C50" s="1">
        <v>10</v>
      </c>
      <c r="D50" s="2">
        <v>43542</v>
      </c>
      <c r="E50" s="2">
        <v>43602</v>
      </c>
      <c r="F50" s="4">
        <v>0</v>
      </c>
      <c r="G50" s="4">
        <v>771.82</v>
      </c>
      <c r="H50" s="4">
        <v>-771.82</v>
      </c>
      <c r="I50" s="1" t="s">
        <v>11</v>
      </c>
    </row>
    <row r="51" spans="1:9" x14ac:dyDescent="0.45">
      <c r="A51" s="1" t="s">
        <v>258</v>
      </c>
      <c r="B51" s="1" t="s">
        <v>259</v>
      </c>
      <c r="C51" s="1">
        <v>10</v>
      </c>
      <c r="D51" s="2">
        <v>43586</v>
      </c>
      <c r="E51" s="2">
        <v>43602</v>
      </c>
      <c r="F51" s="4">
        <v>0</v>
      </c>
      <c r="G51" s="4">
        <v>261.83999999999997</v>
      </c>
      <c r="H51" s="4">
        <v>-261.83999999999997</v>
      </c>
      <c r="I51" s="1" t="s">
        <v>11</v>
      </c>
    </row>
    <row r="52" spans="1:9" x14ac:dyDescent="0.45">
      <c r="A52" s="1" t="s">
        <v>258</v>
      </c>
      <c r="B52" s="1" t="s">
        <v>259</v>
      </c>
      <c r="C52" s="1">
        <v>20</v>
      </c>
      <c r="D52" s="2">
        <v>43592</v>
      </c>
      <c r="E52" s="2">
        <v>43602</v>
      </c>
      <c r="F52" s="4">
        <v>0</v>
      </c>
      <c r="G52" s="4">
        <v>85.73</v>
      </c>
      <c r="H52" s="4">
        <v>-85.73</v>
      </c>
      <c r="I52" s="1" t="s">
        <v>11</v>
      </c>
    </row>
    <row r="53" spans="1:9" x14ac:dyDescent="0.45">
      <c r="A53" s="1" t="s">
        <v>114</v>
      </c>
      <c r="B53" s="1" t="s">
        <v>115</v>
      </c>
      <c r="C53" s="1">
        <v>1</v>
      </c>
      <c r="D53" s="2">
        <v>43578</v>
      </c>
      <c r="E53" s="2">
        <v>43593</v>
      </c>
      <c r="F53" s="4">
        <v>1184.6300000000001</v>
      </c>
      <c r="G53" s="4">
        <v>1155.69</v>
      </c>
      <c r="H53" s="4">
        <v>28.94</v>
      </c>
      <c r="I53" s="1" t="s">
        <v>11</v>
      </c>
    </row>
    <row r="54" spans="1:9" x14ac:dyDescent="0.45">
      <c r="A54" s="1" t="s">
        <v>114</v>
      </c>
      <c r="B54" s="1" t="s">
        <v>115</v>
      </c>
      <c r="C54" s="1">
        <v>2</v>
      </c>
      <c r="D54" s="2">
        <v>43587</v>
      </c>
      <c r="E54" s="2">
        <v>43593</v>
      </c>
      <c r="F54" s="4">
        <v>2369.27</v>
      </c>
      <c r="G54" s="4">
        <v>1606.33</v>
      </c>
      <c r="H54" s="4">
        <v>762.94</v>
      </c>
      <c r="I54" s="1" t="s">
        <v>11</v>
      </c>
    </row>
    <row r="55" spans="1:9" x14ac:dyDescent="0.45">
      <c r="A55" s="1" t="s">
        <v>252</v>
      </c>
      <c r="B55" s="1" t="s">
        <v>253</v>
      </c>
      <c r="C55" s="1">
        <v>1</v>
      </c>
      <c r="D55" s="2">
        <v>43523</v>
      </c>
      <c r="E55" s="2">
        <v>43592</v>
      </c>
      <c r="F55" s="4">
        <v>536.82000000000005</v>
      </c>
      <c r="G55" s="4">
        <v>455.64</v>
      </c>
      <c r="H55" s="4">
        <v>81.180000000000007</v>
      </c>
      <c r="I55" s="1" t="s">
        <v>11</v>
      </c>
    </row>
    <row r="56" spans="1:9" x14ac:dyDescent="0.45">
      <c r="A56" s="1" t="s">
        <v>252</v>
      </c>
      <c r="B56" s="1" t="s">
        <v>253</v>
      </c>
      <c r="C56" s="1">
        <v>1</v>
      </c>
      <c r="D56" s="2">
        <v>43586</v>
      </c>
      <c r="E56" s="2">
        <v>43592</v>
      </c>
      <c r="F56" s="4">
        <v>536.82000000000005</v>
      </c>
      <c r="G56" s="4">
        <v>385.64</v>
      </c>
      <c r="H56" s="4">
        <v>151.18</v>
      </c>
      <c r="I56" s="1" t="s">
        <v>11</v>
      </c>
    </row>
    <row r="57" spans="1:9" x14ac:dyDescent="0.45">
      <c r="A57" s="1" t="s">
        <v>186</v>
      </c>
      <c r="B57" s="1" t="s">
        <v>187</v>
      </c>
      <c r="C57" s="1">
        <v>5</v>
      </c>
      <c r="D57" s="2">
        <v>43570</v>
      </c>
      <c r="E57" s="2">
        <v>43591</v>
      </c>
      <c r="F57" s="4">
        <v>1741.57</v>
      </c>
      <c r="G57" s="4">
        <v>1498.39</v>
      </c>
      <c r="H57" s="4">
        <v>243.18</v>
      </c>
      <c r="I57" s="1" t="s">
        <v>11</v>
      </c>
    </row>
    <row r="58" spans="1:9" x14ac:dyDescent="0.45">
      <c r="A58" s="1" t="s">
        <v>188</v>
      </c>
      <c r="B58" s="1" t="s">
        <v>189</v>
      </c>
      <c r="C58" s="1">
        <v>5</v>
      </c>
      <c r="D58" s="2">
        <v>43570</v>
      </c>
      <c r="E58" s="2">
        <v>43587</v>
      </c>
      <c r="F58" s="4">
        <v>386.55</v>
      </c>
      <c r="G58" s="4">
        <v>363.39</v>
      </c>
      <c r="H58" s="4">
        <v>23.16</v>
      </c>
      <c r="I58" s="1" t="s">
        <v>11</v>
      </c>
    </row>
    <row r="59" spans="1:9" x14ac:dyDescent="0.45">
      <c r="A59" s="1" t="s">
        <v>218</v>
      </c>
      <c r="B59" s="1" t="s">
        <v>219</v>
      </c>
      <c r="C59" s="1">
        <v>5</v>
      </c>
      <c r="D59" s="2">
        <v>43586</v>
      </c>
      <c r="E59" s="2">
        <v>43587</v>
      </c>
      <c r="F59" s="4">
        <v>186.55</v>
      </c>
      <c r="G59" s="4">
        <v>30.19</v>
      </c>
      <c r="H59" s="4">
        <v>156.36000000000001</v>
      </c>
      <c r="I59" s="1" t="s">
        <v>11</v>
      </c>
    </row>
    <row r="60" spans="1:9" x14ac:dyDescent="0.45">
      <c r="A60" s="1" t="s">
        <v>256</v>
      </c>
      <c r="B60" s="1" t="s">
        <v>257</v>
      </c>
      <c r="C60" s="1">
        <v>10</v>
      </c>
      <c r="D60" s="2">
        <v>43537</v>
      </c>
      <c r="E60" s="2">
        <v>43587</v>
      </c>
      <c r="F60" s="4">
        <v>911.44</v>
      </c>
      <c r="G60" s="4">
        <v>426.87</v>
      </c>
      <c r="H60" s="4">
        <v>484.57</v>
      </c>
      <c r="I60" s="1" t="s">
        <v>11</v>
      </c>
    </row>
    <row r="61" spans="1:9" x14ac:dyDescent="0.45">
      <c r="A61" s="1" t="s">
        <v>256</v>
      </c>
      <c r="B61" s="1" t="s">
        <v>257</v>
      </c>
      <c r="C61" s="1">
        <v>10</v>
      </c>
      <c r="D61" s="2">
        <v>43567</v>
      </c>
      <c r="E61" s="2">
        <v>43587</v>
      </c>
      <c r="F61" s="4">
        <v>911.44</v>
      </c>
      <c r="G61" s="4">
        <v>681.84</v>
      </c>
      <c r="H61" s="4">
        <v>229.6</v>
      </c>
      <c r="I61" s="1" t="s">
        <v>11</v>
      </c>
    </row>
    <row r="62" spans="1:9" x14ac:dyDescent="0.45">
      <c r="A62" s="1" t="s">
        <v>256</v>
      </c>
      <c r="B62" s="1" t="s">
        <v>257</v>
      </c>
      <c r="C62" s="1">
        <v>10</v>
      </c>
      <c r="D62" s="2">
        <v>43570</v>
      </c>
      <c r="E62" s="2">
        <v>43587</v>
      </c>
      <c r="F62" s="4">
        <v>911.45</v>
      </c>
      <c r="G62" s="4">
        <v>551.84</v>
      </c>
      <c r="H62" s="4">
        <v>359.61</v>
      </c>
      <c r="I62" s="1" t="s">
        <v>11</v>
      </c>
    </row>
    <row r="63" spans="1:9" x14ac:dyDescent="0.45">
      <c r="A63" s="1" t="s">
        <v>76</v>
      </c>
      <c r="B63" s="1" t="s">
        <v>77</v>
      </c>
      <c r="C63" s="1">
        <v>5</v>
      </c>
      <c r="D63" s="2">
        <v>43571</v>
      </c>
      <c r="E63" s="2">
        <v>43586</v>
      </c>
      <c r="F63" s="4">
        <v>231.55</v>
      </c>
      <c r="G63" s="4">
        <v>95.14</v>
      </c>
      <c r="H63" s="4">
        <v>136.41</v>
      </c>
      <c r="I63" s="1" t="s">
        <v>11</v>
      </c>
    </row>
    <row r="64" spans="1:9" x14ac:dyDescent="0.45">
      <c r="A64" s="1" t="s">
        <v>90</v>
      </c>
      <c r="B64" s="1" t="s">
        <v>91</v>
      </c>
      <c r="C64" s="1">
        <v>2</v>
      </c>
      <c r="D64" s="2">
        <v>43543</v>
      </c>
      <c r="E64" s="2">
        <v>43586</v>
      </c>
      <c r="F64" s="4">
        <v>2443.61</v>
      </c>
      <c r="G64" s="4">
        <v>1368.32</v>
      </c>
      <c r="H64" s="4">
        <v>1075.29</v>
      </c>
      <c r="I64" s="1" t="s">
        <v>11</v>
      </c>
    </row>
    <row r="65" spans="1:9" x14ac:dyDescent="0.45">
      <c r="A65" s="1" t="s">
        <v>244</v>
      </c>
      <c r="B65" s="1" t="s">
        <v>245</v>
      </c>
      <c r="C65" s="1">
        <v>3</v>
      </c>
      <c r="D65" s="2">
        <v>43572</v>
      </c>
      <c r="E65" s="2">
        <v>43586</v>
      </c>
      <c r="F65" s="4">
        <v>3703.9</v>
      </c>
      <c r="G65" s="4">
        <v>2077.02</v>
      </c>
      <c r="H65" s="4">
        <v>1626.88</v>
      </c>
      <c r="I65" s="1" t="s">
        <v>11</v>
      </c>
    </row>
    <row r="66" spans="1:9" x14ac:dyDescent="0.45">
      <c r="A66" s="1" t="s">
        <v>86</v>
      </c>
      <c r="B66" s="1" t="s">
        <v>87</v>
      </c>
      <c r="C66" s="1">
        <v>2</v>
      </c>
      <c r="D66" s="2">
        <v>43579</v>
      </c>
      <c r="E66" s="2">
        <v>43581</v>
      </c>
      <c r="F66" s="4">
        <v>0</v>
      </c>
      <c r="G66" s="4">
        <v>896.33</v>
      </c>
      <c r="H66" s="4">
        <v>-896.33</v>
      </c>
      <c r="I66" s="1" t="s">
        <v>11</v>
      </c>
    </row>
    <row r="67" spans="1:9" x14ac:dyDescent="0.45">
      <c r="A67" s="1" t="s">
        <v>118</v>
      </c>
      <c r="B67" s="1" t="s">
        <v>119</v>
      </c>
      <c r="C67" s="1">
        <v>3</v>
      </c>
      <c r="D67" s="2">
        <v>43580</v>
      </c>
      <c r="E67" s="2">
        <v>43581</v>
      </c>
      <c r="F67" s="4">
        <v>0</v>
      </c>
      <c r="G67" s="4">
        <v>110.37</v>
      </c>
      <c r="H67" s="4">
        <v>-110.37</v>
      </c>
      <c r="I67" s="1" t="s">
        <v>11</v>
      </c>
    </row>
    <row r="68" spans="1:9" x14ac:dyDescent="0.45">
      <c r="A68" s="1" t="s">
        <v>112</v>
      </c>
      <c r="B68" s="1" t="s">
        <v>113</v>
      </c>
      <c r="C68" s="1">
        <v>1</v>
      </c>
      <c r="D68" s="2">
        <v>43572</v>
      </c>
      <c r="E68" s="2">
        <v>43578</v>
      </c>
      <c r="F68" s="4">
        <v>1549.32</v>
      </c>
      <c r="G68" s="4">
        <v>1005.64</v>
      </c>
      <c r="H68" s="4">
        <v>543.67999999999995</v>
      </c>
      <c r="I68" s="1" t="s">
        <v>11</v>
      </c>
    </row>
    <row r="69" spans="1:9" x14ac:dyDescent="0.45">
      <c r="A69" s="1" t="s">
        <v>70</v>
      </c>
      <c r="B69" s="1" t="s">
        <v>71</v>
      </c>
      <c r="C69" s="1">
        <v>5</v>
      </c>
      <c r="D69" s="2">
        <v>43537</v>
      </c>
      <c r="E69" s="2">
        <v>43577</v>
      </c>
      <c r="F69" s="4">
        <v>2591.5500000000002</v>
      </c>
      <c r="G69" s="4">
        <v>1368.39</v>
      </c>
      <c r="H69" s="4">
        <v>1223.1600000000001</v>
      </c>
      <c r="I69" s="1" t="s">
        <v>11</v>
      </c>
    </row>
    <row r="70" spans="1:9" x14ac:dyDescent="0.45">
      <c r="A70" s="1" t="s">
        <v>152</v>
      </c>
      <c r="B70" s="1" t="s">
        <v>153</v>
      </c>
      <c r="C70" s="1">
        <v>5</v>
      </c>
      <c r="D70" s="2">
        <v>43515</v>
      </c>
      <c r="E70" s="2">
        <v>43573</v>
      </c>
      <c r="F70" s="4">
        <v>0</v>
      </c>
      <c r="G70" s="4">
        <v>608.44000000000005</v>
      </c>
      <c r="H70" s="4">
        <v>-608.44000000000005</v>
      </c>
      <c r="I70" s="1" t="s">
        <v>11</v>
      </c>
    </row>
    <row r="71" spans="1:9" x14ac:dyDescent="0.45">
      <c r="A71" s="1" t="s">
        <v>152</v>
      </c>
      <c r="B71" s="1" t="s">
        <v>153</v>
      </c>
      <c r="C71" s="1">
        <v>5</v>
      </c>
      <c r="D71" s="2">
        <v>43536</v>
      </c>
      <c r="E71" s="2">
        <v>43573</v>
      </c>
      <c r="F71" s="4">
        <v>0</v>
      </c>
      <c r="G71" s="4">
        <v>233.44</v>
      </c>
      <c r="H71" s="4">
        <v>-233.44</v>
      </c>
      <c r="I71" s="1" t="s">
        <v>11</v>
      </c>
    </row>
    <row r="72" spans="1:9" x14ac:dyDescent="0.45">
      <c r="A72" s="1" t="s">
        <v>66</v>
      </c>
      <c r="B72" s="1" t="s">
        <v>67</v>
      </c>
      <c r="C72" s="1">
        <v>500</v>
      </c>
      <c r="D72" s="2">
        <v>43567</v>
      </c>
      <c r="E72" s="2">
        <v>43572</v>
      </c>
      <c r="F72" s="4">
        <v>9924.84</v>
      </c>
      <c r="G72" s="4">
        <v>8573.41</v>
      </c>
      <c r="H72" s="4">
        <v>1351.43</v>
      </c>
      <c r="I72" s="1" t="s">
        <v>11</v>
      </c>
    </row>
    <row r="73" spans="1:9" x14ac:dyDescent="0.45">
      <c r="A73" s="1" t="s">
        <v>140</v>
      </c>
      <c r="B73" s="1" t="s">
        <v>141</v>
      </c>
      <c r="C73" s="1">
        <v>100</v>
      </c>
      <c r="D73" s="2">
        <v>43508</v>
      </c>
      <c r="E73" s="2">
        <v>43570</v>
      </c>
      <c r="F73" s="4">
        <v>3804.39</v>
      </c>
      <c r="G73" s="4">
        <v>3924.28</v>
      </c>
      <c r="H73" s="4">
        <v>-119.89</v>
      </c>
      <c r="I73" s="1" t="s">
        <v>11</v>
      </c>
    </row>
    <row r="74" spans="1:9" x14ac:dyDescent="0.45">
      <c r="A74" s="1" t="s">
        <v>62</v>
      </c>
      <c r="B74" s="1" t="s">
        <v>63</v>
      </c>
      <c r="C74" s="1">
        <v>2</v>
      </c>
      <c r="D74" s="2">
        <v>43543</v>
      </c>
      <c r="E74" s="2">
        <v>43567</v>
      </c>
      <c r="F74" s="4">
        <v>3249.62</v>
      </c>
      <c r="G74" s="4">
        <v>610.32000000000005</v>
      </c>
      <c r="H74" s="4">
        <v>2639.3</v>
      </c>
      <c r="I74" s="1" t="s">
        <v>11</v>
      </c>
    </row>
    <row r="75" spans="1:9" x14ac:dyDescent="0.45">
      <c r="A75" s="1" t="s">
        <v>64</v>
      </c>
      <c r="B75" s="1" t="s">
        <v>65</v>
      </c>
      <c r="C75" s="1">
        <v>2</v>
      </c>
      <c r="D75" s="2">
        <v>43543</v>
      </c>
      <c r="E75" s="2">
        <v>43567</v>
      </c>
      <c r="F75" s="4">
        <v>262.62</v>
      </c>
      <c r="G75" s="4">
        <v>2471.38</v>
      </c>
      <c r="H75" s="4">
        <v>-2208.7600000000002</v>
      </c>
      <c r="I75" s="1" t="s">
        <v>11</v>
      </c>
    </row>
    <row r="76" spans="1:9" x14ac:dyDescent="0.45">
      <c r="A76" s="1" t="s">
        <v>156</v>
      </c>
      <c r="B76" s="1" t="s">
        <v>157</v>
      </c>
      <c r="C76" s="1">
        <v>5</v>
      </c>
      <c r="D76" s="2">
        <v>43515</v>
      </c>
      <c r="E76" s="2">
        <v>43567</v>
      </c>
      <c r="F76" s="4">
        <v>766.59</v>
      </c>
      <c r="G76" s="4">
        <v>770.92</v>
      </c>
      <c r="H76" s="4">
        <v>-4.33</v>
      </c>
      <c r="I76" s="1" t="s">
        <v>11</v>
      </c>
    </row>
    <row r="77" spans="1:9" x14ac:dyDescent="0.45">
      <c r="A77" s="1" t="s">
        <v>156</v>
      </c>
      <c r="B77" s="1" t="s">
        <v>157</v>
      </c>
      <c r="C77" s="1">
        <v>5</v>
      </c>
      <c r="D77" s="2">
        <v>43536</v>
      </c>
      <c r="E77" s="2">
        <v>43567</v>
      </c>
      <c r="F77" s="4">
        <v>911.59</v>
      </c>
      <c r="G77" s="4">
        <v>770.92</v>
      </c>
      <c r="H77" s="4">
        <v>140.66999999999999</v>
      </c>
      <c r="I77" s="1" t="s">
        <v>11</v>
      </c>
    </row>
    <row r="78" spans="1:9" x14ac:dyDescent="0.45">
      <c r="A78" s="1" t="s">
        <v>144</v>
      </c>
      <c r="B78" s="1" t="s">
        <v>145</v>
      </c>
      <c r="C78" s="1">
        <v>2</v>
      </c>
      <c r="D78" s="2">
        <v>43539</v>
      </c>
      <c r="E78" s="2">
        <v>43565</v>
      </c>
      <c r="F78" s="4">
        <v>273.66000000000003</v>
      </c>
      <c r="G78" s="4">
        <v>126.07</v>
      </c>
      <c r="H78" s="4">
        <v>147.59</v>
      </c>
      <c r="I78" s="1" t="s">
        <v>11</v>
      </c>
    </row>
    <row r="79" spans="1:9" x14ac:dyDescent="0.45">
      <c r="A79" s="1" t="s">
        <v>154</v>
      </c>
      <c r="B79" s="1" t="s">
        <v>155</v>
      </c>
      <c r="C79" s="1">
        <v>5</v>
      </c>
      <c r="D79" s="2">
        <v>43515</v>
      </c>
      <c r="E79" s="2">
        <v>43564</v>
      </c>
      <c r="F79" s="4">
        <v>126.55</v>
      </c>
      <c r="G79" s="4">
        <v>10.19</v>
      </c>
      <c r="H79" s="4">
        <v>116.36</v>
      </c>
      <c r="I79" s="1" t="s">
        <v>11</v>
      </c>
    </row>
    <row r="80" spans="1:9" x14ac:dyDescent="0.45">
      <c r="A80" s="1" t="s">
        <v>198</v>
      </c>
      <c r="B80" s="1" t="s">
        <v>199</v>
      </c>
      <c r="C80" s="1">
        <v>5</v>
      </c>
      <c r="D80" s="2">
        <v>43538</v>
      </c>
      <c r="E80" s="2">
        <v>43563</v>
      </c>
      <c r="F80" s="4">
        <v>421.6</v>
      </c>
      <c r="G80" s="4">
        <v>268.39</v>
      </c>
      <c r="H80" s="4">
        <v>153.21</v>
      </c>
      <c r="I80" s="1" t="s">
        <v>11</v>
      </c>
    </row>
    <row r="81" spans="1:9" x14ac:dyDescent="0.45">
      <c r="A81" s="1" t="s">
        <v>92</v>
      </c>
      <c r="B81" s="1" t="s">
        <v>93</v>
      </c>
      <c r="C81" s="1">
        <v>2</v>
      </c>
      <c r="D81" s="2">
        <v>43543</v>
      </c>
      <c r="E81" s="2">
        <v>43549</v>
      </c>
      <c r="F81" s="4">
        <v>170.62</v>
      </c>
      <c r="G81" s="4">
        <v>186.32</v>
      </c>
      <c r="H81" s="4">
        <v>-15.7</v>
      </c>
      <c r="I81" s="1" t="s">
        <v>11</v>
      </c>
    </row>
    <row r="82" spans="1:9" x14ac:dyDescent="0.45">
      <c r="A82" s="1" t="s">
        <v>56</v>
      </c>
      <c r="B82" s="1" t="s">
        <v>57</v>
      </c>
      <c r="C82" s="1">
        <v>1</v>
      </c>
      <c r="D82" s="2">
        <v>43528</v>
      </c>
      <c r="E82" s="2">
        <v>43545</v>
      </c>
      <c r="F82" s="4">
        <v>1074.3399999999999</v>
      </c>
      <c r="G82" s="4">
        <v>878.64</v>
      </c>
      <c r="H82" s="4">
        <v>195.7</v>
      </c>
      <c r="I82" s="1" t="s">
        <v>11</v>
      </c>
    </row>
    <row r="83" spans="1:9" x14ac:dyDescent="0.45">
      <c r="A83" s="1" t="s">
        <v>250</v>
      </c>
      <c r="B83" s="1" t="s">
        <v>251</v>
      </c>
      <c r="C83" s="1">
        <v>100</v>
      </c>
      <c r="D83" s="2">
        <v>43543</v>
      </c>
      <c r="E83" s="2">
        <v>43545</v>
      </c>
      <c r="F83" s="4">
        <v>1957.02</v>
      </c>
      <c r="G83" s="4">
        <v>1950.6</v>
      </c>
      <c r="H83" s="4">
        <v>6.42</v>
      </c>
      <c r="I83" s="1" t="s">
        <v>11</v>
      </c>
    </row>
    <row r="84" spans="1:9" x14ac:dyDescent="0.45">
      <c r="A84" s="1" t="s">
        <v>254</v>
      </c>
      <c r="B84" s="1" t="s">
        <v>255</v>
      </c>
      <c r="C84" s="1">
        <v>6</v>
      </c>
      <c r="D84" s="2">
        <v>43537</v>
      </c>
      <c r="E84" s="2">
        <v>43542</v>
      </c>
      <c r="F84" s="4">
        <v>386.92</v>
      </c>
      <c r="G84" s="4">
        <v>178.47</v>
      </c>
      <c r="H84" s="4">
        <v>208.45</v>
      </c>
      <c r="I84" s="1" t="s">
        <v>11</v>
      </c>
    </row>
    <row r="85" spans="1:9" x14ac:dyDescent="0.45">
      <c r="A85" s="1" t="s">
        <v>254</v>
      </c>
      <c r="B85" s="1" t="s">
        <v>255</v>
      </c>
      <c r="C85" s="1">
        <v>1</v>
      </c>
      <c r="D85" s="2">
        <v>43537</v>
      </c>
      <c r="E85" s="2">
        <v>43542</v>
      </c>
      <c r="F85" s="4">
        <v>64.3</v>
      </c>
      <c r="G85" s="4">
        <v>29.74</v>
      </c>
      <c r="H85" s="4">
        <v>34.56</v>
      </c>
      <c r="I85" s="1" t="s">
        <v>11</v>
      </c>
    </row>
    <row r="86" spans="1:9" x14ac:dyDescent="0.45">
      <c r="A86" s="1" t="s">
        <v>94</v>
      </c>
      <c r="B86" s="1" t="s">
        <v>95</v>
      </c>
      <c r="C86" s="1">
        <v>10</v>
      </c>
      <c r="D86" s="2">
        <v>43339</v>
      </c>
      <c r="E86" s="2">
        <v>43539</v>
      </c>
      <c r="F86" s="4">
        <v>0</v>
      </c>
      <c r="G86" s="4">
        <v>1536.84</v>
      </c>
      <c r="H86" s="4">
        <v>-1536.84</v>
      </c>
      <c r="I86" s="1" t="s">
        <v>11</v>
      </c>
    </row>
    <row r="87" spans="1:9" x14ac:dyDescent="0.45">
      <c r="A87" s="1" t="s">
        <v>150</v>
      </c>
      <c r="B87" s="1" t="s">
        <v>151</v>
      </c>
      <c r="C87" s="1">
        <v>4</v>
      </c>
      <c r="D87" s="2">
        <v>43375</v>
      </c>
      <c r="E87" s="2">
        <v>43539</v>
      </c>
      <c r="F87" s="4">
        <v>0</v>
      </c>
      <c r="G87" s="4">
        <v>735.69</v>
      </c>
      <c r="H87" s="4">
        <v>-735.69</v>
      </c>
      <c r="I87" s="1" t="s">
        <v>11</v>
      </c>
    </row>
    <row r="88" spans="1:9" x14ac:dyDescent="0.45">
      <c r="A88" s="1" t="s">
        <v>150</v>
      </c>
      <c r="B88" s="1" t="s">
        <v>151</v>
      </c>
      <c r="C88" s="1">
        <v>6</v>
      </c>
      <c r="D88" s="2">
        <v>43446</v>
      </c>
      <c r="E88" s="2">
        <v>43539</v>
      </c>
      <c r="F88" s="4">
        <v>0</v>
      </c>
      <c r="G88" s="4">
        <v>157.71</v>
      </c>
      <c r="H88" s="4">
        <v>-157.71</v>
      </c>
      <c r="I88" s="1" t="s">
        <v>11</v>
      </c>
    </row>
    <row r="89" spans="1:9" x14ac:dyDescent="0.45">
      <c r="A89" s="1" t="s">
        <v>150</v>
      </c>
      <c r="B89" s="1" t="s">
        <v>151</v>
      </c>
      <c r="C89" s="1">
        <v>20</v>
      </c>
      <c r="D89" s="2">
        <v>43474</v>
      </c>
      <c r="E89" s="2">
        <v>43539</v>
      </c>
      <c r="F89" s="4">
        <v>0</v>
      </c>
      <c r="G89" s="4">
        <v>105.69</v>
      </c>
      <c r="H89" s="4">
        <v>-105.69</v>
      </c>
      <c r="I89" s="1" t="s">
        <v>11</v>
      </c>
    </row>
    <row r="90" spans="1:9" x14ac:dyDescent="0.45">
      <c r="A90" s="1" t="s">
        <v>150</v>
      </c>
      <c r="B90" s="1" t="s">
        <v>151</v>
      </c>
      <c r="C90" s="1">
        <v>70</v>
      </c>
      <c r="D90" s="2">
        <v>43502</v>
      </c>
      <c r="E90" s="2">
        <v>43539</v>
      </c>
      <c r="F90" s="4">
        <v>0</v>
      </c>
      <c r="G90" s="4">
        <v>149.66999999999999</v>
      </c>
      <c r="H90" s="4">
        <v>-149.66999999999999</v>
      </c>
      <c r="I90" s="1" t="s">
        <v>11</v>
      </c>
    </row>
    <row r="91" spans="1:9" x14ac:dyDescent="0.45">
      <c r="A91" s="1" t="s">
        <v>78</v>
      </c>
      <c r="B91" s="1" t="s">
        <v>79</v>
      </c>
      <c r="C91" s="1">
        <v>3</v>
      </c>
      <c r="D91" s="2">
        <v>43502</v>
      </c>
      <c r="E91" s="2">
        <v>43537</v>
      </c>
      <c r="F91" s="4">
        <v>867.18</v>
      </c>
      <c r="G91" s="4">
        <v>2542.0100000000002</v>
      </c>
      <c r="H91" s="4">
        <v>-1674.83</v>
      </c>
      <c r="I91" s="1" t="s">
        <v>11</v>
      </c>
    </row>
    <row r="92" spans="1:9" x14ac:dyDescent="0.45">
      <c r="A92" s="1" t="s">
        <v>78</v>
      </c>
      <c r="B92" s="1" t="s">
        <v>79</v>
      </c>
      <c r="C92" s="1">
        <v>5</v>
      </c>
      <c r="D92" s="2">
        <v>43518</v>
      </c>
      <c r="E92" s="2">
        <v>43537</v>
      </c>
      <c r="F92" s="4">
        <v>1445.31</v>
      </c>
      <c r="G92" s="4">
        <v>848.39</v>
      </c>
      <c r="H92" s="4">
        <v>596.91999999999996</v>
      </c>
      <c r="I92" s="1" t="s">
        <v>11</v>
      </c>
    </row>
    <row r="93" spans="1:9" x14ac:dyDescent="0.45">
      <c r="A93" s="1" t="s">
        <v>78</v>
      </c>
      <c r="B93" s="1" t="s">
        <v>79</v>
      </c>
      <c r="C93" s="1">
        <v>2</v>
      </c>
      <c r="D93" s="2">
        <v>43522</v>
      </c>
      <c r="E93" s="2">
        <v>43537</v>
      </c>
      <c r="F93" s="4">
        <v>578.12</v>
      </c>
      <c r="G93" s="4">
        <v>266.33</v>
      </c>
      <c r="H93" s="4">
        <v>311.79000000000002</v>
      </c>
      <c r="I93" s="1" t="s">
        <v>11</v>
      </c>
    </row>
    <row r="94" spans="1:9" x14ac:dyDescent="0.45">
      <c r="A94" s="1" t="s">
        <v>78</v>
      </c>
      <c r="B94" s="1" t="s">
        <v>79</v>
      </c>
      <c r="C94" s="1">
        <v>10</v>
      </c>
      <c r="D94" s="2">
        <v>43536</v>
      </c>
      <c r="E94" s="2">
        <v>43537</v>
      </c>
      <c r="F94" s="4">
        <v>2890.62</v>
      </c>
      <c r="G94" s="4">
        <v>1601.82</v>
      </c>
      <c r="H94" s="4">
        <v>1288.8</v>
      </c>
      <c r="I94" s="1" t="s">
        <v>11</v>
      </c>
    </row>
    <row r="95" spans="1:9" x14ac:dyDescent="0.45">
      <c r="A95" s="1" t="s">
        <v>80</v>
      </c>
      <c r="B95" s="1" t="s">
        <v>81</v>
      </c>
      <c r="C95" s="1">
        <v>1</v>
      </c>
      <c r="D95" s="2">
        <v>43516</v>
      </c>
      <c r="E95" s="2">
        <v>43537</v>
      </c>
      <c r="F95" s="4">
        <v>1700.33</v>
      </c>
      <c r="G95" s="4">
        <v>1376.64</v>
      </c>
      <c r="H95" s="4">
        <v>323.69</v>
      </c>
      <c r="I95" s="1" t="s">
        <v>11</v>
      </c>
    </row>
    <row r="96" spans="1:9" x14ac:dyDescent="0.45">
      <c r="A96" s="1" t="s">
        <v>172</v>
      </c>
      <c r="B96" s="1" t="s">
        <v>173</v>
      </c>
      <c r="C96" s="1">
        <v>1</v>
      </c>
      <c r="D96" s="2">
        <v>43515</v>
      </c>
      <c r="E96" s="2">
        <v>43536</v>
      </c>
      <c r="F96" s="4">
        <v>319.3</v>
      </c>
      <c r="G96" s="4">
        <v>177.64</v>
      </c>
      <c r="H96" s="4">
        <v>141.66</v>
      </c>
      <c r="I96" s="1" t="s">
        <v>11</v>
      </c>
    </row>
    <row r="97" spans="1:9" x14ac:dyDescent="0.45">
      <c r="A97" s="1" t="s">
        <v>68</v>
      </c>
      <c r="B97" s="1" t="s">
        <v>69</v>
      </c>
      <c r="C97" s="1">
        <v>1</v>
      </c>
      <c r="D97" s="2">
        <v>43530</v>
      </c>
      <c r="E97" s="2">
        <v>43530</v>
      </c>
      <c r="F97" s="4">
        <v>94.95</v>
      </c>
      <c r="G97" s="4">
        <v>111.34</v>
      </c>
      <c r="H97" s="4">
        <v>-16.39</v>
      </c>
      <c r="I97" s="1" t="s">
        <v>11</v>
      </c>
    </row>
    <row r="98" spans="1:9" x14ac:dyDescent="0.45">
      <c r="A98" s="1" t="s">
        <v>108</v>
      </c>
      <c r="B98" s="1" t="s">
        <v>109</v>
      </c>
      <c r="C98" s="1">
        <v>1</v>
      </c>
      <c r="D98" s="2">
        <v>43500</v>
      </c>
      <c r="E98" s="2">
        <v>43530</v>
      </c>
      <c r="F98" s="4">
        <v>1902.64</v>
      </c>
      <c r="G98" s="4">
        <v>2648.64</v>
      </c>
      <c r="H98" s="4">
        <v>-746</v>
      </c>
      <c r="I98" s="1" t="s">
        <v>11</v>
      </c>
    </row>
    <row r="99" spans="1:9" x14ac:dyDescent="0.45">
      <c r="A99" s="1" t="s">
        <v>108</v>
      </c>
      <c r="B99" s="1" t="s">
        <v>109</v>
      </c>
      <c r="C99" s="1">
        <v>1</v>
      </c>
      <c r="D99" s="2">
        <v>43517</v>
      </c>
      <c r="E99" s="2">
        <v>43530</v>
      </c>
      <c r="F99" s="4">
        <v>1902.64</v>
      </c>
      <c r="G99" s="4">
        <v>755.64</v>
      </c>
      <c r="H99" s="4">
        <v>1147</v>
      </c>
      <c r="I99" s="1" t="s">
        <v>11</v>
      </c>
    </row>
    <row r="100" spans="1:9" x14ac:dyDescent="0.45">
      <c r="A100" s="1" t="s">
        <v>108</v>
      </c>
      <c r="B100" s="1" t="s">
        <v>109</v>
      </c>
      <c r="C100" s="1">
        <v>1</v>
      </c>
      <c r="D100" s="2">
        <v>43523</v>
      </c>
      <c r="E100" s="2">
        <v>43530</v>
      </c>
      <c r="F100" s="4">
        <v>1902.63</v>
      </c>
      <c r="G100" s="4">
        <v>789.64</v>
      </c>
      <c r="H100" s="4">
        <v>1112.99</v>
      </c>
      <c r="I100" s="1" t="s">
        <v>11</v>
      </c>
    </row>
    <row r="101" spans="1:9" x14ac:dyDescent="0.45">
      <c r="A101" s="1" t="s">
        <v>102</v>
      </c>
      <c r="B101" s="1" t="s">
        <v>103</v>
      </c>
      <c r="C101" s="1">
        <v>1</v>
      </c>
      <c r="D101" s="2">
        <v>43500</v>
      </c>
      <c r="E101" s="2">
        <v>43529</v>
      </c>
      <c r="F101" s="4">
        <v>4043.02</v>
      </c>
      <c r="G101" s="4">
        <v>3989.64</v>
      </c>
      <c r="H101" s="4">
        <v>53.38</v>
      </c>
      <c r="I101" s="1" t="s">
        <v>11</v>
      </c>
    </row>
    <row r="102" spans="1:9" x14ac:dyDescent="0.45">
      <c r="A102" s="1" t="s">
        <v>102</v>
      </c>
      <c r="B102" s="1" t="s">
        <v>103</v>
      </c>
      <c r="C102" s="1">
        <v>1</v>
      </c>
      <c r="D102" s="2">
        <v>43502</v>
      </c>
      <c r="E102" s="2">
        <v>43529</v>
      </c>
      <c r="F102" s="4">
        <v>4043.02</v>
      </c>
      <c r="G102" s="4">
        <v>2524.64</v>
      </c>
      <c r="H102" s="4">
        <v>1518.38</v>
      </c>
      <c r="I102" s="1" t="s">
        <v>11</v>
      </c>
    </row>
    <row r="103" spans="1:9" x14ac:dyDescent="0.45">
      <c r="A103" s="1" t="s">
        <v>102</v>
      </c>
      <c r="B103" s="1" t="s">
        <v>103</v>
      </c>
      <c r="C103" s="1">
        <v>1</v>
      </c>
      <c r="D103" s="2">
        <v>43516</v>
      </c>
      <c r="E103" s="2">
        <v>43529</v>
      </c>
      <c r="F103" s="4">
        <v>4043.02</v>
      </c>
      <c r="G103" s="4">
        <v>2088.64</v>
      </c>
      <c r="H103" s="4">
        <v>1954.38</v>
      </c>
      <c r="I103" s="1" t="s">
        <v>11</v>
      </c>
    </row>
    <row r="104" spans="1:9" x14ac:dyDescent="0.45">
      <c r="A104" s="1" t="s">
        <v>102</v>
      </c>
      <c r="B104" s="1" t="s">
        <v>103</v>
      </c>
      <c r="C104" s="1">
        <v>1</v>
      </c>
      <c r="D104" s="2">
        <v>43523</v>
      </c>
      <c r="E104" s="2">
        <v>43529</v>
      </c>
      <c r="F104" s="4">
        <v>4043.02</v>
      </c>
      <c r="G104" s="4">
        <v>1235.6400000000001</v>
      </c>
      <c r="H104" s="4">
        <v>2807.38</v>
      </c>
      <c r="I104" s="1" t="s">
        <v>11</v>
      </c>
    </row>
    <row r="105" spans="1:9" x14ac:dyDescent="0.45">
      <c r="A105" s="1" t="s">
        <v>96</v>
      </c>
      <c r="B105" s="1" t="s">
        <v>97</v>
      </c>
      <c r="C105" s="1">
        <v>300</v>
      </c>
      <c r="D105" s="2">
        <v>43528</v>
      </c>
      <c r="E105" s="2">
        <v>43525</v>
      </c>
      <c r="F105" s="4">
        <v>342523.58</v>
      </c>
      <c r="G105" s="4">
        <v>347529.84</v>
      </c>
      <c r="H105" s="4">
        <v>-5006.26</v>
      </c>
      <c r="I105" s="1" t="s">
        <v>11</v>
      </c>
    </row>
    <row r="106" spans="1:9" x14ac:dyDescent="0.45">
      <c r="A106" s="1" t="s">
        <v>142</v>
      </c>
      <c r="B106" s="1" t="s">
        <v>143</v>
      </c>
      <c r="C106" s="1">
        <v>100</v>
      </c>
      <c r="D106" s="2">
        <v>43501</v>
      </c>
      <c r="E106" s="2">
        <v>43523</v>
      </c>
      <c r="F106" s="4">
        <v>6002.92</v>
      </c>
      <c r="G106" s="4">
        <v>6014.95</v>
      </c>
      <c r="H106" s="4">
        <v>-12.03</v>
      </c>
      <c r="I106" s="1" t="s">
        <v>11</v>
      </c>
    </row>
    <row r="107" spans="1:9" x14ac:dyDescent="0.45">
      <c r="A107" s="1" t="s">
        <v>100</v>
      </c>
      <c r="B107" s="1" t="s">
        <v>101</v>
      </c>
      <c r="C107" s="1">
        <v>1</v>
      </c>
      <c r="D107" s="2">
        <v>43515</v>
      </c>
      <c r="E107" s="2">
        <v>43517</v>
      </c>
      <c r="F107" s="4">
        <v>1102.3399999999999</v>
      </c>
      <c r="G107" s="4">
        <v>485.64</v>
      </c>
      <c r="H107" s="4">
        <v>616.70000000000005</v>
      </c>
      <c r="I107" s="1" t="s">
        <v>11</v>
      </c>
    </row>
    <row r="108" spans="1:9" x14ac:dyDescent="0.45">
      <c r="A108" s="1" t="s">
        <v>104</v>
      </c>
      <c r="B108" s="1" t="s">
        <v>105</v>
      </c>
      <c r="C108" s="1">
        <v>1</v>
      </c>
      <c r="D108" s="2">
        <v>43516</v>
      </c>
      <c r="E108" s="2">
        <v>43517</v>
      </c>
      <c r="F108" s="4">
        <v>1080.29</v>
      </c>
      <c r="G108" s="4">
        <v>505.64</v>
      </c>
      <c r="H108" s="4">
        <v>574.65</v>
      </c>
      <c r="I108" s="1" t="s">
        <v>11</v>
      </c>
    </row>
    <row r="109" spans="1:9" x14ac:dyDescent="0.45">
      <c r="A109" s="1" t="s">
        <v>148</v>
      </c>
      <c r="B109" s="1" t="s">
        <v>149</v>
      </c>
      <c r="C109" s="1">
        <v>3</v>
      </c>
      <c r="D109" s="2">
        <v>43487</v>
      </c>
      <c r="E109" s="2">
        <v>43517</v>
      </c>
      <c r="F109" s="4">
        <v>472.99</v>
      </c>
      <c r="G109" s="4">
        <v>226.01</v>
      </c>
      <c r="H109" s="4">
        <v>246.98</v>
      </c>
      <c r="I109" s="1" t="s">
        <v>11</v>
      </c>
    </row>
    <row r="110" spans="1:9" x14ac:dyDescent="0.45">
      <c r="A110" s="1" t="s">
        <v>146</v>
      </c>
      <c r="B110" s="1" t="s">
        <v>147</v>
      </c>
      <c r="C110" s="1">
        <v>300</v>
      </c>
      <c r="D110" s="2">
        <v>43504</v>
      </c>
      <c r="E110" s="2">
        <v>43516</v>
      </c>
      <c r="F110" s="4">
        <v>1916.55</v>
      </c>
      <c r="G110" s="4">
        <v>1766.96</v>
      </c>
      <c r="H110" s="4">
        <v>149.59</v>
      </c>
      <c r="I110" s="1" t="s">
        <v>11</v>
      </c>
    </row>
    <row r="111" spans="1:9" x14ac:dyDescent="0.45">
      <c r="A111" s="1" t="s">
        <v>214</v>
      </c>
      <c r="B111" s="1" t="s">
        <v>215</v>
      </c>
      <c r="C111" s="1">
        <v>1</v>
      </c>
      <c r="D111" s="2">
        <v>43494</v>
      </c>
      <c r="E111" s="2">
        <v>43516</v>
      </c>
      <c r="F111" s="4">
        <v>746.83</v>
      </c>
      <c r="G111" s="4">
        <v>480.68</v>
      </c>
      <c r="H111" s="4">
        <v>266.14999999999998</v>
      </c>
      <c r="I111" s="1" t="s">
        <v>11</v>
      </c>
    </row>
    <row r="112" spans="1:9" x14ac:dyDescent="0.45">
      <c r="A112" s="1" t="s">
        <v>214</v>
      </c>
      <c r="B112" s="1" t="s">
        <v>215</v>
      </c>
      <c r="C112" s="1">
        <v>1</v>
      </c>
      <c r="D112" s="2">
        <v>43501</v>
      </c>
      <c r="E112" s="2">
        <v>43516</v>
      </c>
      <c r="F112" s="4">
        <v>746.82</v>
      </c>
      <c r="G112" s="4">
        <v>565.64</v>
      </c>
      <c r="H112" s="4">
        <v>181.18</v>
      </c>
      <c r="I112" s="1" t="s">
        <v>11</v>
      </c>
    </row>
    <row r="113" spans="1:9" x14ac:dyDescent="0.45">
      <c r="A113" s="1" t="s">
        <v>98</v>
      </c>
      <c r="B113" s="1" t="s">
        <v>99</v>
      </c>
      <c r="C113" s="1">
        <v>1</v>
      </c>
      <c r="D113" s="2">
        <v>43509</v>
      </c>
      <c r="E113" s="2">
        <v>43515</v>
      </c>
      <c r="F113" s="4">
        <v>996.82</v>
      </c>
      <c r="G113" s="4">
        <v>417.64</v>
      </c>
      <c r="H113" s="4">
        <v>579.17999999999995</v>
      </c>
      <c r="I113" s="1" t="s">
        <v>11</v>
      </c>
    </row>
    <row r="114" spans="1:9" x14ac:dyDescent="0.45">
      <c r="A114" s="1" t="s">
        <v>170</v>
      </c>
      <c r="B114" s="1" t="s">
        <v>171</v>
      </c>
      <c r="C114" s="1">
        <v>1</v>
      </c>
      <c r="D114" s="2">
        <v>43515</v>
      </c>
      <c r="E114" s="2">
        <v>43515</v>
      </c>
      <c r="F114" s="4">
        <v>211.35</v>
      </c>
      <c r="G114" s="4">
        <v>84.99</v>
      </c>
      <c r="H114" s="4">
        <v>126.36</v>
      </c>
      <c r="I114" s="1" t="s">
        <v>11</v>
      </c>
    </row>
    <row r="115" spans="1:9" x14ac:dyDescent="0.45">
      <c r="A115" s="1" t="s">
        <v>20</v>
      </c>
      <c r="B115" s="1" t="s">
        <v>21</v>
      </c>
      <c r="C115" s="1">
        <v>5</v>
      </c>
      <c r="D115" s="2">
        <v>43482</v>
      </c>
      <c r="E115" s="2">
        <v>43511</v>
      </c>
      <c r="F115" s="4">
        <v>1254.08</v>
      </c>
      <c r="G115" s="4">
        <v>978.39</v>
      </c>
      <c r="H115" s="4">
        <v>275.69</v>
      </c>
      <c r="I115" s="1" t="s">
        <v>11</v>
      </c>
    </row>
    <row r="116" spans="1:9" x14ac:dyDescent="0.45">
      <c r="A116" s="1" t="s">
        <v>82</v>
      </c>
      <c r="B116" s="1" t="s">
        <v>83</v>
      </c>
      <c r="C116" s="1">
        <v>1</v>
      </c>
      <c r="D116" s="2">
        <v>43502</v>
      </c>
      <c r="E116" s="2">
        <v>43511</v>
      </c>
      <c r="F116" s="4">
        <v>2534.27</v>
      </c>
      <c r="G116" s="4">
        <v>2255.64</v>
      </c>
      <c r="H116" s="4">
        <v>278.63</v>
      </c>
      <c r="I116" s="1" t="s">
        <v>11</v>
      </c>
    </row>
    <row r="117" spans="1:9" x14ac:dyDescent="0.45">
      <c r="A117" s="1" t="s">
        <v>98</v>
      </c>
      <c r="B117" s="1" t="s">
        <v>99</v>
      </c>
      <c r="C117" s="1">
        <v>1</v>
      </c>
      <c r="D117" s="2">
        <v>43509</v>
      </c>
      <c r="E117" s="2">
        <v>43511</v>
      </c>
      <c r="F117" s="4">
        <v>996.82</v>
      </c>
      <c r="G117" s="4">
        <v>395.64</v>
      </c>
      <c r="H117" s="4">
        <v>601.17999999999995</v>
      </c>
      <c r="I117" s="1" t="s">
        <v>11</v>
      </c>
    </row>
    <row r="118" spans="1:9" x14ac:dyDescent="0.45">
      <c r="A118" s="1" t="s">
        <v>212</v>
      </c>
      <c r="B118" s="1" t="s">
        <v>213</v>
      </c>
      <c r="C118" s="1">
        <v>1</v>
      </c>
      <c r="D118" s="2">
        <v>43494</v>
      </c>
      <c r="E118" s="2">
        <v>43511</v>
      </c>
      <c r="F118" s="4">
        <v>749.36</v>
      </c>
      <c r="G118" s="4">
        <v>129.63999999999999</v>
      </c>
      <c r="H118" s="4">
        <v>619.72</v>
      </c>
      <c r="I118" s="1" t="s">
        <v>11</v>
      </c>
    </row>
    <row r="119" spans="1:9" x14ac:dyDescent="0.45">
      <c r="A119" s="1" t="s">
        <v>242</v>
      </c>
      <c r="B119" s="1" t="s">
        <v>243</v>
      </c>
      <c r="C119" s="1">
        <v>5</v>
      </c>
      <c r="D119" s="2">
        <v>43374</v>
      </c>
      <c r="E119" s="2">
        <v>43511</v>
      </c>
      <c r="F119" s="4">
        <v>0</v>
      </c>
      <c r="G119" s="4">
        <v>2003.42</v>
      </c>
      <c r="H119" s="4">
        <v>-2003.42</v>
      </c>
      <c r="I119" s="1" t="s">
        <v>11</v>
      </c>
    </row>
    <row r="120" spans="1:9" x14ac:dyDescent="0.45">
      <c r="A120" s="1" t="s">
        <v>242</v>
      </c>
      <c r="B120" s="1" t="s">
        <v>243</v>
      </c>
      <c r="C120" s="1">
        <v>15</v>
      </c>
      <c r="D120" s="2">
        <v>43483</v>
      </c>
      <c r="E120" s="2">
        <v>43511</v>
      </c>
      <c r="F120" s="4">
        <v>0</v>
      </c>
      <c r="G120" s="4">
        <v>690.21</v>
      </c>
      <c r="H120" s="4">
        <v>-690.21</v>
      </c>
      <c r="I120" s="1" t="s">
        <v>11</v>
      </c>
    </row>
    <row r="121" spans="1:9" x14ac:dyDescent="0.45">
      <c r="A121" s="1" t="s">
        <v>242</v>
      </c>
      <c r="B121" s="1" t="s">
        <v>243</v>
      </c>
      <c r="C121" s="1">
        <v>10</v>
      </c>
      <c r="D121" s="2">
        <v>43488</v>
      </c>
      <c r="E121" s="2">
        <v>43511</v>
      </c>
      <c r="F121" s="4">
        <v>0</v>
      </c>
      <c r="G121" s="4">
        <v>210.34</v>
      </c>
      <c r="H121" s="4">
        <v>-210.34</v>
      </c>
      <c r="I121" s="1" t="s">
        <v>11</v>
      </c>
    </row>
    <row r="122" spans="1:9" x14ac:dyDescent="0.45">
      <c r="A122" s="1" t="s">
        <v>30</v>
      </c>
      <c r="B122" s="1" t="s">
        <v>31</v>
      </c>
      <c r="C122" s="1">
        <v>1</v>
      </c>
      <c r="D122" s="2">
        <v>43461</v>
      </c>
      <c r="E122" s="2">
        <v>43507</v>
      </c>
      <c r="F122" s="4">
        <v>233.32</v>
      </c>
      <c r="G122" s="4">
        <v>49.68</v>
      </c>
      <c r="H122" s="4">
        <v>183.64</v>
      </c>
      <c r="I122" s="1" t="s">
        <v>11</v>
      </c>
    </row>
    <row r="123" spans="1:9" x14ac:dyDescent="0.45">
      <c r="A123" s="1" t="s">
        <v>30</v>
      </c>
      <c r="B123" s="1" t="s">
        <v>31</v>
      </c>
      <c r="C123" s="1">
        <v>4</v>
      </c>
      <c r="D123" s="2">
        <v>43482</v>
      </c>
      <c r="E123" s="2">
        <v>43507</v>
      </c>
      <c r="F123" s="4">
        <v>933.27</v>
      </c>
      <c r="G123" s="4">
        <v>207.69</v>
      </c>
      <c r="H123" s="4">
        <v>725.58</v>
      </c>
      <c r="I123" s="1" t="s">
        <v>11</v>
      </c>
    </row>
    <row r="124" spans="1:9" x14ac:dyDescent="0.45">
      <c r="A124" s="1" t="s">
        <v>18</v>
      </c>
      <c r="B124" s="1" t="s">
        <v>19</v>
      </c>
      <c r="C124" s="1">
        <v>10</v>
      </c>
      <c r="D124" s="2">
        <v>43482</v>
      </c>
      <c r="E124" s="2">
        <v>43502</v>
      </c>
      <c r="F124" s="4">
        <v>969.81</v>
      </c>
      <c r="G124" s="4">
        <v>616.84</v>
      </c>
      <c r="H124" s="4">
        <v>352.97</v>
      </c>
      <c r="I124" s="1" t="s">
        <v>11</v>
      </c>
    </row>
    <row r="125" spans="1:9" x14ac:dyDescent="0.45">
      <c r="A125" s="1" t="s">
        <v>18</v>
      </c>
      <c r="B125" s="1" t="s">
        <v>19</v>
      </c>
      <c r="C125" s="1">
        <v>5</v>
      </c>
      <c r="D125" s="2">
        <v>43494</v>
      </c>
      <c r="E125" s="2">
        <v>43502</v>
      </c>
      <c r="F125" s="4">
        <v>484.9</v>
      </c>
      <c r="G125" s="4">
        <v>223.37</v>
      </c>
      <c r="H125" s="4">
        <v>261.52999999999997</v>
      </c>
      <c r="I125" s="1" t="s">
        <v>11</v>
      </c>
    </row>
    <row r="126" spans="1:9" x14ac:dyDescent="0.45">
      <c r="A126" s="1" t="s">
        <v>166</v>
      </c>
      <c r="B126" s="1" t="s">
        <v>167</v>
      </c>
      <c r="C126" s="1">
        <v>300</v>
      </c>
      <c r="D126" s="2">
        <v>43497</v>
      </c>
      <c r="E126" s="2">
        <v>43502</v>
      </c>
      <c r="F126" s="4">
        <v>4183.68</v>
      </c>
      <c r="G126" s="4">
        <v>3816.98</v>
      </c>
      <c r="H126" s="4">
        <v>366.7</v>
      </c>
      <c r="I126" s="1" t="s">
        <v>11</v>
      </c>
    </row>
    <row r="127" spans="1:9" x14ac:dyDescent="0.45">
      <c r="A127" s="1" t="s">
        <v>196</v>
      </c>
      <c r="B127" s="1" t="s">
        <v>197</v>
      </c>
      <c r="C127" s="1">
        <v>100</v>
      </c>
      <c r="D127" s="2">
        <v>43378</v>
      </c>
      <c r="E127" s="2">
        <v>43502</v>
      </c>
      <c r="F127" s="4">
        <v>846.1</v>
      </c>
      <c r="G127" s="4">
        <v>991.59</v>
      </c>
      <c r="H127" s="4">
        <v>-145.49</v>
      </c>
      <c r="I127" s="1" t="s">
        <v>11</v>
      </c>
    </row>
    <row r="128" spans="1:9" x14ac:dyDescent="0.45">
      <c r="A128" s="1" t="s">
        <v>196</v>
      </c>
      <c r="B128" s="1" t="s">
        <v>197</v>
      </c>
      <c r="C128" s="1">
        <v>300</v>
      </c>
      <c r="D128" s="2">
        <v>43501</v>
      </c>
      <c r="E128" s="2">
        <v>43502</v>
      </c>
      <c r="F128" s="4">
        <v>2538.3000000000002</v>
      </c>
      <c r="G128" s="4">
        <v>2092.9499999999998</v>
      </c>
      <c r="H128" s="4">
        <v>445.35</v>
      </c>
      <c r="I128" s="1" t="s">
        <v>11</v>
      </c>
    </row>
    <row r="129" spans="1:9" x14ac:dyDescent="0.45">
      <c r="A129" s="1" t="s">
        <v>110</v>
      </c>
      <c r="B129" s="1" t="s">
        <v>111</v>
      </c>
      <c r="C129" s="1">
        <v>1</v>
      </c>
      <c r="D129" s="2">
        <v>43500</v>
      </c>
      <c r="E129" s="2">
        <v>43501</v>
      </c>
      <c r="F129" s="4">
        <v>236.3</v>
      </c>
      <c r="G129" s="4">
        <v>167.64</v>
      </c>
      <c r="H129" s="4">
        <v>68.66</v>
      </c>
      <c r="I129" s="1" t="s">
        <v>11</v>
      </c>
    </row>
    <row r="130" spans="1:9" x14ac:dyDescent="0.45">
      <c r="A130" s="1" t="s">
        <v>160</v>
      </c>
      <c r="B130" s="1" t="s">
        <v>161</v>
      </c>
      <c r="C130" s="1">
        <v>100</v>
      </c>
      <c r="D130" s="2">
        <v>43497</v>
      </c>
      <c r="E130" s="2">
        <v>43501</v>
      </c>
      <c r="F130" s="4">
        <v>4119.8</v>
      </c>
      <c r="G130" s="4">
        <v>4052.55</v>
      </c>
      <c r="H130" s="4">
        <v>67.25</v>
      </c>
      <c r="I130" s="1" t="s">
        <v>11</v>
      </c>
    </row>
    <row r="131" spans="1:9" x14ac:dyDescent="0.45">
      <c r="A131" s="1" t="s">
        <v>106</v>
      </c>
      <c r="B131" s="1" t="s">
        <v>107</v>
      </c>
      <c r="C131" s="1">
        <v>1</v>
      </c>
      <c r="D131" s="2">
        <v>43500</v>
      </c>
      <c r="E131" s="2">
        <v>43500</v>
      </c>
      <c r="F131" s="4">
        <v>202.3</v>
      </c>
      <c r="G131" s="4">
        <v>213.64</v>
      </c>
      <c r="H131" s="4">
        <v>-11.34</v>
      </c>
      <c r="I131" s="1" t="s">
        <v>11</v>
      </c>
    </row>
    <row r="132" spans="1:9" x14ac:dyDescent="0.45">
      <c r="A132" s="1" t="s">
        <v>12</v>
      </c>
      <c r="B132" s="1" t="s">
        <v>13</v>
      </c>
      <c r="C132" s="1">
        <v>2000</v>
      </c>
      <c r="D132" s="2">
        <v>43420</v>
      </c>
      <c r="E132" s="2">
        <v>43497</v>
      </c>
      <c r="F132" s="4">
        <v>14374.86</v>
      </c>
      <c r="G132" s="4">
        <v>14423.64</v>
      </c>
      <c r="H132" s="4">
        <v>-48.78</v>
      </c>
      <c r="I132" s="1" t="s">
        <v>11</v>
      </c>
    </row>
    <row r="133" spans="1:9" x14ac:dyDescent="0.45">
      <c r="A133" s="1" t="s">
        <v>210</v>
      </c>
      <c r="B133" s="1" t="s">
        <v>211</v>
      </c>
      <c r="C133" s="1">
        <v>2</v>
      </c>
      <c r="D133" s="2">
        <v>43490</v>
      </c>
      <c r="E133" s="2">
        <v>43497</v>
      </c>
      <c r="F133" s="4">
        <v>0</v>
      </c>
      <c r="G133" s="4">
        <v>286.32</v>
      </c>
      <c r="H133" s="4">
        <v>-286.32</v>
      </c>
      <c r="I133" s="1" t="s">
        <v>11</v>
      </c>
    </row>
    <row r="134" spans="1:9" x14ac:dyDescent="0.45">
      <c r="A134" s="1" t="s">
        <v>248</v>
      </c>
      <c r="B134" s="1" t="s">
        <v>249</v>
      </c>
      <c r="C134" s="1">
        <v>100</v>
      </c>
      <c r="D134" s="2">
        <v>43494</v>
      </c>
      <c r="E134" s="2">
        <v>43497</v>
      </c>
      <c r="F134" s="4">
        <v>10194.91</v>
      </c>
      <c r="G134" s="4">
        <v>10153.629999999999</v>
      </c>
      <c r="H134" s="4">
        <v>41.28</v>
      </c>
      <c r="I134" s="1" t="s">
        <v>11</v>
      </c>
    </row>
    <row r="135" spans="1:9" x14ac:dyDescent="0.45">
      <c r="A135" s="1" t="s">
        <v>208</v>
      </c>
      <c r="B135" s="1" t="s">
        <v>209</v>
      </c>
      <c r="C135" s="1">
        <v>2</v>
      </c>
      <c r="D135" s="2">
        <v>43490</v>
      </c>
      <c r="E135" s="2">
        <v>43494</v>
      </c>
      <c r="F135" s="4">
        <v>333.67</v>
      </c>
      <c r="G135" s="4">
        <v>27.02</v>
      </c>
      <c r="H135" s="4">
        <v>306.64999999999998</v>
      </c>
      <c r="I135" s="1" t="s">
        <v>11</v>
      </c>
    </row>
    <row r="136" spans="1:9" x14ac:dyDescent="0.45">
      <c r="A136" s="1" t="s">
        <v>20</v>
      </c>
      <c r="B136" s="1" t="s">
        <v>21</v>
      </c>
      <c r="C136" s="1">
        <v>5</v>
      </c>
      <c r="D136" s="2">
        <v>43482</v>
      </c>
      <c r="E136" s="2">
        <v>43493</v>
      </c>
      <c r="F136" s="4">
        <v>1254.0899999999999</v>
      </c>
      <c r="G136" s="4">
        <v>1093.3699999999999</v>
      </c>
      <c r="H136" s="4">
        <v>160.72</v>
      </c>
      <c r="I136" s="1" t="s">
        <v>11</v>
      </c>
    </row>
    <row r="137" spans="1:9" x14ac:dyDescent="0.45">
      <c r="A137" s="1" t="s">
        <v>202</v>
      </c>
      <c r="B137" s="1" t="s">
        <v>203</v>
      </c>
      <c r="C137" s="1">
        <v>200</v>
      </c>
      <c r="D137" s="2">
        <v>43413</v>
      </c>
      <c r="E137" s="2">
        <v>43493</v>
      </c>
      <c r="F137" s="4">
        <v>15158.41</v>
      </c>
      <c r="G137" s="4">
        <v>15171.31</v>
      </c>
      <c r="H137" s="4">
        <v>-12.9</v>
      </c>
      <c r="I137" s="1" t="s">
        <v>11</v>
      </c>
    </row>
    <row r="138" spans="1:9" x14ac:dyDescent="0.45">
      <c r="A138" s="1" t="s">
        <v>162</v>
      </c>
      <c r="B138" s="1" t="s">
        <v>163</v>
      </c>
      <c r="C138" s="1">
        <v>1</v>
      </c>
      <c r="D138" s="2">
        <v>43482</v>
      </c>
      <c r="E138" s="2">
        <v>43490</v>
      </c>
      <c r="F138" s="4">
        <v>0</v>
      </c>
      <c r="G138" s="4">
        <v>1461.63</v>
      </c>
      <c r="H138" s="4">
        <v>-1461.63</v>
      </c>
      <c r="I138" s="1" t="s">
        <v>11</v>
      </c>
    </row>
    <row r="139" spans="1:9" x14ac:dyDescent="0.45">
      <c r="A139" s="1" t="s">
        <v>168</v>
      </c>
      <c r="B139" s="1" t="s">
        <v>169</v>
      </c>
      <c r="C139" s="1">
        <v>5</v>
      </c>
      <c r="D139" s="2">
        <v>43487</v>
      </c>
      <c r="E139" s="2">
        <v>43490</v>
      </c>
      <c r="F139" s="4">
        <v>726.62</v>
      </c>
      <c r="G139" s="4">
        <v>398.42</v>
      </c>
      <c r="H139" s="4">
        <v>328.2</v>
      </c>
      <c r="I139" s="1" t="s">
        <v>11</v>
      </c>
    </row>
    <row r="140" spans="1:9" x14ac:dyDescent="0.45">
      <c r="A140" s="1" t="s">
        <v>16</v>
      </c>
      <c r="B140" s="1" t="s">
        <v>17</v>
      </c>
      <c r="C140" s="1">
        <v>10</v>
      </c>
      <c r="D140" s="2">
        <v>43482</v>
      </c>
      <c r="E140" s="2">
        <v>43487</v>
      </c>
      <c r="F140" s="4">
        <v>85.15</v>
      </c>
      <c r="G140" s="4">
        <v>10.34</v>
      </c>
      <c r="H140" s="4">
        <v>74.81</v>
      </c>
      <c r="I140" s="1" t="s">
        <v>11</v>
      </c>
    </row>
    <row r="141" spans="1:9" x14ac:dyDescent="0.45">
      <c r="A141" s="1" t="s">
        <v>58</v>
      </c>
      <c r="B141" s="1" t="s">
        <v>59</v>
      </c>
      <c r="C141" s="1">
        <v>3</v>
      </c>
      <c r="D141" s="2">
        <v>43389</v>
      </c>
      <c r="E141" s="2">
        <v>43487</v>
      </c>
      <c r="F141" s="4">
        <v>1004.45</v>
      </c>
      <c r="G141" s="4">
        <v>1112.05</v>
      </c>
      <c r="H141" s="4">
        <v>-107.6</v>
      </c>
      <c r="I141" s="1" t="s">
        <v>11</v>
      </c>
    </row>
    <row r="142" spans="1:9" x14ac:dyDescent="0.45">
      <c r="A142" s="1" t="s">
        <v>58</v>
      </c>
      <c r="B142" s="1" t="s">
        <v>59</v>
      </c>
      <c r="C142" s="1">
        <v>2</v>
      </c>
      <c r="D142" s="2">
        <v>43462</v>
      </c>
      <c r="E142" s="2">
        <v>43487</v>
      </c>
      <c r="F142" s="4">
        <v>669.63</v>
      </c>
      <c r="G142" s="4">
        <v>218.32</v>
      </c>
      <c r="H142" s="4">
        <v>451.31</v>
      </c>
      <c r="I142" s="1" t="s">
        <v>11</v>
      </c>
    </row>
    <row r="143" spans="1:9" x14ac:dyDescent="0.45">
      <c r="A143" s="1" t="s">
        <v>58</v>
      </c>
      <c r="B143" s="1" t="s">
        <v>59</v>
      </c>
      <c r="C143" s="1">
        <v>5</v>
      </c>
      <c r="D143" s="2">
        <v>43472</v>
      </c>
      <c r="E143" s="2">
        <v>43487</v>
      </c>
      <c r="F143" s="4">
        <v>1674.08</v>
      </c>
      <c r="G143" s="4">
        <v>933.42</v>
      </c>
      <c r="H143" s="4">
        <v>740.66</v>
      </c>
      <c r="I143" s="1" t="s">
        <v>11</v>
      </c>
    </row>
    <row r="144" spans="1:9" x14ac:dyDescent="0.45">
      <c r="A144" s="1" t="s">
        <v>60</v>
      </c>
      <c r="B144" s="1" t="s">
        <v>61</v>
      </c>
      <c r="C144" s="1">
        <v>10</v>
      </c>
      <c r="D144" s="2">
        <v>43472</v>
      </c>
      <c r="E144" s="2">
        <v>43487</v>
      </c>
      <c r="F144" s="4">
        <v>1298.19</v>
      </c>
      <c r="G144" s="4">
        <v>2616.84</v>
      </c>
      <c r="H144" s="4">
        <v>-1318.65</v>
      </c>
      <c r="I144" s="1" t="s">
        <v>11</v>
      </c>
    </row>
    <row r="145" spans="1:9" x14ac:dyDescent="0.45">
      <c r="A145" s="1" t="s">
        <v>206</v>
      </c>
      <c r="B145" s="1" t="s">
        <v>207</v>
      </c>
      <c r="C145" s="1">
        <v>1</v>
      </c>
      <c r="D145" s="2">
        <v>43480</v>
      </c>
      <c r="E145" s="2">
        <v>43487</v>
      </c>
      <c r="F145" s="4">
        <v>894.35</v>
      </c>
      <c r="G145" s="4">
        <v>508.63</v>
      </c>
      <c r="H145" s="4">
        <v>385.72</v>
      </c>
      <c r="I145" s="1" t="s">
        <v>11</v>
      </c>
    </row>
    <row r="146" spans="1:9" x14ac:dyDescent="0.45">
      <c r="A146" s="1" t="s">
        <v>238</v>
      </c>
      <c r="B146" s="1" t="s">
        <v>239</v>
      </c>
      <c r="C146" s="1">
        <v>2</v>
      </c>
      <c r="D146" s="2">
        <v>43473</v>
      </c>
      <c r="E146" s="2">
        <v>43487</v>
      </c>
      <c r="F146" s="4">
        <v>595.66999999999996</v>
      </c>
      <c r="G146" s="4">
        <v>561.37</v>
      </c>
      <c r="H146" s="4">
        <v>34.299999999999997</v>
      </c>
      <c r="I146" s="1" t="s">
        <v>11</v>
      </c>
    </row>
    <row r="147" spans="1:9" x14ac:dyDescent="0.45">
      <c r="A147" s="1" t="s">
        <v>240</v>
      </c>
      <c r="B147" s="1" t="s">
        <v>241</v>
      </c>
      <c r="C147" s="1">
        <v>2</v>
      </c>
      <c r="D147" s="2">
        <v>43473</v>
      </c>
      <c r="E147" s="2">
        <v>43487</v>
      </c>
      <c r="F147" s="4">
        <v>1353.66</v>
      </c>
      <c r="G147" s="4">
        <v>570.32000000000005</v>
      </c>
      <c r="H147" s="4">
        <v>783.34</v>
      </c>
      <c r="I147" s="1" t="s">
        <v>11</v>
      </c>
    </row>
    <row r="148" spans="1:9" x14ac:dyDescent="0.45">
      <c r="A148" s="1" t="s">
        <v>14</v>
      </c>
      <c r="B148" s="1" t="s">
        <v>15</v>
      </c>
      <c r="C148" s="1">
        <v>20</v>
      </c>
      <c r="D148" s="2">
        <v>43480</v>
      </c>
      <c r="E148" s="2">
        <v>43483</v>
      </c>
      <c r="F148" s="4">
        <v>189.3</v>
      </c>
      <c r="G148" s="4">
        <v>0</v>
      </c>
      <c r="H148" s="4">
        <v>189.3</v>
      </c>
      <c r="I148" s="1" t="s">
        <v>11</v>
      </c>
    </row>
    <row r="149" spans="1:9" x14ac:dyDescent="0.45">
      <c r="A149" s="1" t="s">
        <v>116</v>
      </c>
      <c r="B149" s="1" t="s">
        <v>117</v>
      </c>
      <c r="C149" s="1">
        <v>1</v>
      </c>
      <c r="D149" s="2">
        <v>43312</v>
      </c>
      <c r="E149" s="2">
        <v>43483</v>
      </c>
      <c r="F149" s="4">
        <v>0</v>
      </c>
      <c r="G149" s="4">
        <v>643.64</v>
      </c>
      <c r="H149" s="4">
        <v>-643.64</v>
      </c>
      <c r="I149" s="1" t="s">
        <v>11</v>
      </c>
    </row>
    <row r="150" spans="1:9" x14ac:dyDescent="0.45">
      <c r="A150" s="1" t="s">
        <v>116</v>
      </c>
      <c r="B150" s="1" t="s">
        <v>117</v>
      </c>
      <c r="C150" s="1">
        <v>1</v>
      </c>
      <c r="D150" s="2">
        <v>43318</v>
      </c>
      <c r="E150" s="2">
        <v>43483</v>
      </c>
      <c r="F150" s="4">
        <v>0</v>
      </c>
      <c r="G150" s="4">
        <v>465.63</v>
      </c>
      <c r="H150" s="4">
        <v>-465.63</v>
      </c>
      <c r="I150" s="1" t="s">
        <v>11</v>
      </c>
    </row>
    <row r="151" spans="1:9" x14ac:dyDescent="0.45">
      <c r="A151" s="1" t="s">
        <v>164</v>
      </c>
      <c r="B151" s="1" t="s">
        <v>165</v>
      </c>
      <c r="C151" s="1">
        <v>1</v>
      </c>
      <c r="D151" s="2">
        <v>43482</v>
      </c>
      <c r="E151" s="2">
        <v>43483</v>
      </c>
      <c r="F151" s="4">
        <v>505.31</v>
      </c>
      <c r="G151" s="4">
        <v>31.98</v>
      </c>
      <c r="H151" s="4">
        <v>473.33</v>
      </c>
      <c r="I151" s="1" t="s">
        <v>11</v>
      </c>
    </row>
    <row r="152" spans="1:9" x14ac:dyDescent="0.45">
      <c r="A152" s="1" t="s">
        <v>180</v>
      </c>
      <c r="B152" s="1" t="s">
        <v>181</v>
      </c>
      <c r="C152" s="1">
        <v>5</v>
      </c>
      <c r="D152" s="2">
        <v>43306</v>
      </c>
      <c r="E152" s="2">
        <v>43483</v>
      </c>
      <c r="F152" s="4">
        <v>0</v>
      </c>
      <c r="G152" s="4">
        <v>1156.6300000000001</v>
      </c>
      <c r="H152" s="4">
        <v>-1156.6300000000001</v>
      </c>
      <c r="I152" s="1" t="s">
        <v>11</v>
      </c>
    </row>
    <row r="153" spans="1:9" x14ac:dyDescent="0.45">
      <c r="A153" s="1" t="s">
        <v>180</v>
      </c>
      <c r="B153" s="1" t="s">
        <v>181</v>
      </c>
      <c r="C153" s="1">
        <v>5</v>
      </c>
      <c r="D153" s="2">
        <v>43307</v>
      </c>
      <c r="E153" s="2">
        <v>43483</v>
      </c>
      <c r="F153" s="4">
        <v>0</v>
      </c>
      <c r="G153" s="4">
        <v>1567.68</v>
      </c>
      <c r="H153" s="4">
        <v>-1567.68</v>
      </c>
      <c r="I153" s="1" t="s">
        <v>11</v>
      </c>
    </row>
    <row r="154" spans="1:9" x14ac:dyDescent="0.45">
      <c r="A154" s="1" t="s">
        <v>180</v>
      </c>
      <c r="B154" s="1" t="s">
        <v>181</v>
      </c>
      <c r="C154" s="1">
        <v>40</v>
      </c>
      <c r="D154" s="2">
        <v>43390</v>
      </c>
      <c r="E154" s="2">
        <v>43483</v>
      </c>
      <c r="F154" s="4">
        <v>0</v>
      </c>
      <c r="G154" s="4">
        <v>2107.37</v>
      </c>
      <c r="H154" s="4">
        <v>-2107.37</v>
      </c>
      <c r="I154" s="1" t="s">
        <v>11</v>
      </c>
    </row>
    <row r="155" spans="1:9" x14ac:dyDescent="0.45">
      <c r="A155" s="1" t="s">
        <v>180</v>
      </c>
      <c r="B155" s="1" t="s">
        <v>181</v>
      </c>
      <c r="C155" s="1">
        <v>10</v>
      </c>
      <c r="D155" s="2">
        <v>43446</v>
      </c>
      <c r="E155" s="2">
        <v>43483</v>
      </c>
      <c r="F155" s="4">
        <v>0</v>
      </c>
      <c r="G155" s="4">
        <v>351.79</v>
      </c>
      <c r="H155" s="4">
        <v>-351.79</v>
      </c>
      <c r="I155" s="1" t="s">
        <v>11</v>
      </c>
    </row>
    <row r="156" spans="1:9" x14ac:dyDescent="0.45">
      <c r="A156" s="1" t="s">
        <v>180</v>
      </c>
      <c r="B156" s="1" t="s">
        <v>181</v>
      </c>
      <c r="C156" s="1">
        <v>10</v>
      </c>
      <c r="D156" s="2">
        <v>43447</v>
      </c>
      <c r="E156" s="2">
        <v>43483</v>
      </c>
      <c r="F156" s="4">
        <v>0</v>
      </c>
      <c r="G156" s="4">
        <v>311.79000000000002</v>
      </c>
      <c r="H156" s="4">
        <v>-311.79000000000002</v>
      </c>
      <c r="I156" s="1" t="s">
        <v>11</v>
      </c>
    </row>
    <row r="157" spans="1:9" x14ac:dyDescent="0.45">
      <c r="A157" s="1" t="s">
        <v>180</v>
      </c>
      <c r="B157" s="1" t="s">
        <v>181</v>
      </c>
      <c r="C157" s="1">
        <v>10</v>
      </c>
      <c r="D157" s="2">
        <v>43469</v>
      </c>
      <c r="E157" s="2">
        <v>43483</v>
      </c>
      <c r="F157" s="4">
        <v>0</v>
      </c>
      <c r="G157" s="4">
        <v>35.29</v>
      </c>
      <c r="H157" s="4">
        <v>-35.29</v>
      </c>
      <c r="I157" s="1" t="s">
        <v>11</v>
      </c>
    </row>
    <row r="158" spans="1:9" x14ac:dyDescent="0.45">
      <c r="A158" s="1" t="s">
        <v>180</v>
      </c>
      <c r="B158" s="1" t="s">
        <v>181</v>
      </c>
      <c r="C158" s="1">
        <v>1</v>
      </c>
      <c r="D158" s="2">
        <v>43469</v>
      </c>
      <c r="E158" s="2">
        <v>43483</v>
      </c>
      <c r="F158" s="4">
        <v>0</v>
      </c>
      <c r="G158" s="4">
        <v>5.03</v>
      </c>
      <c r="H158" s="4">
        <v>-5.03</v>
      </c>
      <c r="I158" s="1" t="s">
        <v>11</v>
      </c>
    </row>
    <row r="159" spans="1:9" x14ac:dyDescent="0.45">
      <c r="A159" s="1" t="s">
        <v>180</v>
      </c>
      <c r="B159" s="1" t="s">
        <v>181</v>
      </c>
      <c r="C159" s="1">
        <v>46</v>
      </c>
      <c r="D159" s="2">
        <v>43469</v>
      </c>
      <c r="E159" s="2">
        <v>43483</v>
      </c>
      <c r="F159" s="4">
        <v>0</v>
      </c>
      <c r="G159" s="4">
        <v>239.88</v>
      </c>
      <c r="H159" s="4">
        <v>-239.88</v>
      </c>
      <c r="I159" s="1" t="s">
        <v>11</v>
      </c>
    </row>
    <row r="160" spans="1:9" x14ac:dyDescent="0.45">
      <c r="A160" s="1" t="s">
        <v>180</v>
      </c>
      <c r="B160" s="1" t="s">
        <v>181</v>
      </c>
      <c r="C160" s="1">
        <v>6</v>
      </c>
      <c r="D160" s="2">
        <v>43469</v>
      </c>
      <c r="E160" s="2">
        <v>43483</v>
      </c>
      <c r="F160" s="4">
        <v>0</v>
      </c>
      <c r="G160" s="4">
        <v>31.71</v>
      </c>
      <c r="H160" s="4">
        <v>-31.71</v>
      </c>
      <c r="I160" s="1" t="s">
        <v>11</v>
      </c>
    </row>
    <row r="161" spans="1:9" x14ac:dyDescent="0.45">
      <c r="A161" s="1" t="s">
        <v>180</v>
      </c>
      <c r="B161" s="1" t="s">
        <v>181</v>
      </c>
      <c r="C161" s="1">
        <v>14</v>
      </c>
      <c r="D161" s="2">
        <v>43469</v>
      </c>
      <c r="E161" s="2">
        <v>43483</v>
      </c>
      <c r="F161" s="4">
        <v>0</v>
      </c>
      <c r="G161" s="4">
        <v>73.98</v>
      </c>
      <c r="H161" s="4">
        <v>-73.98</v>
      </c>
      <c r="I161" s="1" t="s">
        <v>11</v>
      </c>
    </row>
    <row r="162" spans="1:9" x14ac:dyDescent="0.45">
      <c r="A162" s="1" t="s">
        <v>180</v>
      </c>
      <c r="B162" s="1" t="s">
        <v>181</v>
      </c>
      <c r="C162" s="1">
        <v>46</v>
      </c>
      <c r="D162" s="2">
        <v>43469</v>
      </c>
      <c r="E162" s="2">
        <v>43483</v>
      </c>
      <c r="F162" s="4">
        <v>0</v>
      </c>
      <c r="G162" s="4">
        <v>243.08</v>
      </c>
      <c r="H162" s="4">
        <v>-243.08</v>
      </c>
      <c r="I162" s="1" t="s">
        <v>11</v>
      </c>
    </row>
    <row r="163" spans="1:9" x14ac:dyDescent="0.45">
      <c r="A163" s="1" t="s">
        <v>180</v>
      </c>
      <c r="B163" s="1" t="s">
        <v>181</v>
      </c>
      <c r="C163" s="1">
        <v>7</v>
      </c>
      <c r="D163" s="2">
        <v>43469</v>
      </c>
      <c r="E163" s="2">
        <v>43483</v>
      </c>
      <c r="F163" s="4">
        <v>0</v>
      </c>
      <c r="G163" s="4">
        <v>36.99</v>
      </c>
      <c r="H163" s="4">
        <v>-36.99</v>
      </c>
      <c r="I163" s="1" t="s">
        <v>11</v>
      </c>
    </row>
    <row r="164" spans="1:9" x14ac:dyDescent="0.45">
      <c r="A164" s="1" t="s">
        <v>32</v>
      </c>
      <c r="B164" s="1" t="s">
        <v>33</v>
      </c>
      <c r="C164" s="1">
        <v>1</v>
      </c>
      <c r="D164" s="2">
        <v>43461</v>
      </c>
      <c r="E164" s="2">
        <v>43482</v>
      </c>
      <c r="F164" s="4">
        <v>194.36</v>
      </c>
      <c r="G164" s="4">
        <v>48.98</v>
      </c>
      <c r="H164" s="4">
        <v>145.38</v>
      </c>
      <c r="I164" s="1" t="s">
        <v>11</v>
      </c>
    </row>
    <row r="165" spans="1:9" x14ac:dyDescent="0.45">
      <c r="A165" s="1" t="s">
        <v>204</v>
      </c>
      <c r="B165" s="1" t="s">
        <v>205</v>
      </c>
      <c r="C165" s="1">
        <v>1</v>
      </c>
      <c r="D165" s="2">
        <v>43472</v>
      </c>
      <c r="E165" s="2">
        <v>43475</v>
      </c>
      <c r="F165" s="4">
        <v>324.36</v>
      </c>
      <c r="G165" s="4">
        <v>36.979999999999997</v>
      </c>
      <c r="H165" s="4">
        <v>287.38</v>
      </c>
      <c r="I165" s="1" t="s">
        <v>11</v>
      </c>
    </row>
    <row r="166" spans="1:9" x14ac:dyDescent="0.45">
      <c r="A166" s="1" t="s">
        <v>234</v>
      </c>
      <c r="B166" s="1" t="s">
        <v>235</v>
      </c>
      <c r="C166" s="1">
        <v>1</v>
      </c>
      <c r="D166" s="2">
        <v>43472</v>
      </c>
      <c r="E166" s="2">
        <v>43472</v>
      </c>
      <c r="F166" s="4">
        <v>329.31</v>
      </c>
      <c r="G166" s="4">
        <v>330.63</v>
      </c>
      <c r="H166" s="4">
        <v>-1.32</v>
      </c>
      <c r="I166" s="1" t="s">
        <v>11</v>
      </c>
    </row>
    <row r="167" spans="1:9" x14ac:dyDescent="0.45">
      <c r="A167" s="1" t="s">
        <v>236</v>
      </c>
      <c r="B167" s="1" t="s">
        <v>237</v>
      </c>
      <c r="C167" s="1">
        <v>1</v>
      </c>
      <c r="D167" s="2">
        <v>43472</v>
      </c>
      <c r="E167" s="2">
        <v>43472</v>
      </c>
      <c r="F167" s="4">
        <v>15.01</v>
      </c>
      <c r="G167" s="4">
        <v>37.979999999999997</v>
      </c>
      <c r="H167" s="4">
        <v>-22.97</v>
      </c>
      <c r="I167" s="1" t="s">
        <v>11</v>
      </c>
    </row>
    <row r="168" spans="1:9" x14ac:dyDescent="0.45">
      <c r="A168" s="1" t="s">
        <v>232</v>
      </c>
      <c r="B168" s="1" t="s">
        <v>233</v>
      </c>
      <c r="C168" s="1">
        <v>3</v>
      </c>
      <c r="D168" s="2">
        <v>43460</v>
      </c>
      <c r="E168" s="2">
        <v>43469</v>
      </c>
      <c r="F168" s="4">
        <v>367.99</v>
      </c>
      <c r="G168" s="4">
        <v>0</v>
      </c>
      <c r="H168" s="4">
        <v>367.99</v>
      </c>
      <c r="I168" s="1" t="s">
        <v>11</v>
      </c>
    </row>
    <row r="169" spans="1:9" x14ac:dyDescent="0.45">
      <c r="H169" s="4" t="e">
        <f>SUM(#REF!)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6YDMQ6CUTPJ4-1427209179-231</_dlc_DocId>
    <_dlc_DocIdUrl xmlns="7dc771f6-da2e-4bd1-a70e-d17768d8552b">
      <Url>https://cloudbaud.sharepoint.com/sites/Accounting/Taxes/_layouts/15/DocIdRedir.aspx?ID=6YDMQ6CUTPJ4-1427209179-231</Url>
      <Description>6YDMQ6CUTPJ4-1427209179-231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0E793F2-C220-4269-B633-0D9C7B20158A}"/>
</file>

<file path=customXml/itemProps2.xml><?xml version="1.0" encoding="utf-8"?>
<ds:datastoreItem xmlns:ds="http://schemas.openxmlformats.org/officeDocument/2006/customXml" ds:itemID="{99799792-A358-4977-AD4B-80C195917CDD}"/>
</file>

<file path=customXml/itemProps3.xml><?xml version="1.0" encoding="utf-8"?>
<ds:datastoreItem xmlns:ds="http://schemas.openxmlformats.org/officeDocument/2006/customXml" ds:itemID="{9DED3887-6639-4C78-8576-42EBAA47CF19}"/>
</file>

<file path=customXml/itemProps4.xml><?xml version="1.0" encoding="utf-8"?>
<ds:datastoreItem xmlns:ds="http://schemas.openxmlformats.org/officeDocument/2006/customXml" ds:itemID="{7DEBEB64-7F0C-4686-A412-8947F15F6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July</vt:lpstr>
      <vt:lpstr>June</vt:lpstr>
      <vt:lpstr>May</vt:lpstr>
      <vt:lpstr>April</vt:lpstr>
      <vt:lpstr>March</vt:lpstr>
      <vt:lpstr>Feb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jishn</cp:lastModifiedBy>
  <dcterms:created xsi:type="dcterms:W3CDTF">2019-07-27T14:39:55Z</dcterms:created>
  <dcterms:modified xsi:type="dcterms:W3CDTF">2019-07-27T15:12:09Z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_dlc_DocIdItemGuid">
    <vt:lpwstr>22285b29-8495-4d60-b9e7-e1cbc9bf912c</vt:lpwstr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