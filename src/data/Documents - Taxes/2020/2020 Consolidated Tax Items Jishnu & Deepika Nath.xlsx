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Taxes-FederalTaxesBizPersonal/Shared Documents/Federal Taxes Biz Personal/2020/"/>
    </mc:Choice>
  </mc:AlternateContent>
  <xr:revisionPtr revIDLastSave="0" documentId="14_{C5771A51-7B70-43C1-8052-B774FC25E980}" xr6:coauthVersionLast="47" xr6:coauthVersionMax="47" xr10:uidLastSave="{00000000-0000-0000-0000-000000000000}"/>
  <bookViews>
    <workbookView xWindow="-28920" yWindow="-120" windowWidth="29040" windowHeight="15990" activeTab="1" xr2:uid="{91B7E148-D819-4643-863E-0E8948DF1730}"/>
  </bookViews>
  <sheets>
    <sheet name="Individual" sheetId="3" r:id="rId1"/>
    <sheet name="CloudBaud" sheetId="2" r:id="rId2"/>
    <sheet name="Roberto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2" l="1"/>
  <c r="G12" i="2"/>
  <c r="F12" i="2" s="1"/>
  <c r="E12" i="2" s="1"/>
  <c r="D4" i="1"/>
  <c r="D30" i="1"/>
  <c r="D9" i="1"/>
  <c r="D43" i="1"/>
  <c r="D44" i="1"/>
  <c r="D32" i="1"/>
  <c r="D12" i="1"/>
  <c r="D21" i="1"/>
  <c r="D31" i="1"/>
  <c r="D7" i="1"/>
  <c r="E40" i="2"/>
  <c r="E41" i="2"/>
  <c r="E42" i="2"/>
  <c r="E43" i="2"/>
  <c r="E44" i="2"/>
  <c r="E45" i="2"/>
  <c r="D19" i="1"/>
  <c r="E38" i="2"/>
  <c r="E39" i="2"/>
  <c r="E16" i="2"/>
  <c r="D11" i="1"/>
  <c r="E7" i="2"/>
  <c r="E13" i="2"/>
  <c r="D9" i="3"/>
  <c r="D23" i="1"/>
  <c r="E47" i="2" l="1"/>
  <c r="E5" i="2" s="1"/>
  <c r="D7" i="3" s="1"/>
  <c r="D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B3" authorId="0" shapeId="0" xr:uid="{B3986654-8E18-47D1-9C07-3107188A305B}">
      <text>
        <r>
          <rPr>
            <sz val="11"/>
            <color theme="1"/>
            <rFont val="Calibri"/>
            <family val="2"/>
            <scheme val="minor"/>
          </rPr>
          <t>Jish Nath:
Deepika Nath ONLY.  Jish has no W2</t>
        </r>
      </text>
    </comment>
    <comment ref="B15" authorId="0" shapeId="0" xr:uid="{A2A24DA9-E3DD-4ACA-BC29-024D69048A64}">
      <text>
        <r>
          <rPr>
            <sz val="11"/>
            <color theme="1"/>
            <rFont val="Calibri"/>
            <family val="2"/>
            <scheme val="minor"/>
          </rPr>
          <t>Jish Nath:
Edward Jones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R39" authorId="0" shapeId="0" xr:uid="{03F7A83D-DB16-4F10-97F2-688A1F6B7CB3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tc={920324D9-8055-4D89-8794-FBCDA52AED79}</author>
  </authors>
  <commentList>
    <comment ref="D9" authorId="0" shapeId="0" xr:uid="{E8B4727E-23AC-4D52-833F-050112864152}">
      <text>
        <r>
          <rPr>
            <sz val="11"/>
            <color theme="1"/>
            <rFont val="Calibri"/>
            <family val="2"/>
            <scheme val="minor"/>
          </rPr>
          <t>Jish Nath:
unclaimed Kingswood Leasing 225 from 2016
930.91 to Pawnee in 2016</t>
        </r>
      </text>
    </comment>
    <comment ref="C19" authorId="1" shapeId="0" xr:uid="{920324D9-8055-4D89-8794-FBCDA52AED7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@David  Inventory is what i am working on right now</t>
        </r>
      </text>
    </comment>
    <comment ref="D21" authorId="0" shapeId="0" xr:uid="{ACF790F3-06C4-4F15-AD0B-C9467C2DF767}">
      <text>
        <r>
          <rPr>
            <sz val="11"/>
            <color theme="1"/>
            <rFont val="Calibri"/>
            <family val="2"/>
            <scheme val="minor"/>
          </rPr>
          <t>Jish Nath:
Harland Checks (unclaimed from 2015)</t>
        </r>
      </text>
    </comment>
    <comment ref="C30" authorId="0" shapeId="0" xr:uid="{362514B5-DD72-4B05-9AB5-C258C784F96E}">
      <text>
        <r>
          <rPr>
            <sz val="11"/>
            <color theme="1"/>
            <rFont val="Calibri"/>
            <family val="2"/>
            <scheme val="minor"/>
          </rPr>
          <t xml:space="preserve">Jish Nath:
unclaimed in 2015 &amp; 2016 for these folks
</t>
        </r>
      </text>
    </comment>
    <comment ref="D30" authorId="0" shapeId="0" xr:uid="{E386C400-F60B-4E72-BBE0-0602D90CC1BD}">
      <text>
        <r>
          <rPr>
            <sz val="11"/>
            <color theme="1"/>
            <rFont val="Calibri"/>
            <family val="2"/>
            <scheme val="minor"/>
          </rPr>
          <t>Jish Nath:
659.98 for Kris Robbins in 2015
500 to Griffin Richardson</t>
        </r>
      </text>
    </comment>
    <comment ref="D32" authorId="0" shapeId="0" xr:uid="{C7A8F3B0-F661-48B6-9E9A-17554B3CC880}">
      <text>
        <r>
          <rPr>
            <sz val="11"/>
            <color theme="1"/>
            <rFont val="Calibri"/>
            <family val="2"/>
            <scheme val="minor"/>
          </rPr>
          <t>Jish Nath:
unclaimed DOH plan review from 2016</t>
        </r>
      </text>
    </comment>
    <comment ref="D44" authorId="0" shapeId="0" xr:uid="{774EE8C3-61F2-4AE4-9774-41DC3201084A}">
      <text>
        <r>
          <rPr>
            <sz val="11"/>
            <color theme="1"/>
            <rFont val="Calibri"/>
            <family val="2"/>
            <scheme val="minor"/>
          </rPr>
          <t>Jish Nath:
paint by jose gomez in 2016</t>
        </r>
      </text>
    </comment>
  </commentList>
</comments>
</file>

<file path=xl/sharedStrings.xml><?xml version="1.0" encoding="utf-8"?>
<sst xmlns="http://schemas.openxmlformats.org/spreadsheetml/2006/main" count="147" uniqueCount="117">
  <si>
    <t>W2 Wages</t>
  </si>
  <si>
    <t>Biz Income/Loss</t>
  </si>
  <si>
    <t>1. Robertos Pizza</t>
  </si>
  <si>
    <t>2. CloudBaud LLC</t>
  </si>
  <si>
    <t>Capital Gains/Loss</t>
  </si>
  <si>
    <t>Jishnu Roth IRA</t>
  </si>
  <si>
    <t>Deepika ROTH IRA</t>
  </si>
  <si>
    <t>SEP IRA</t>
  </si>
  <si>
    <t>1099-R</t>
  </si>
  <si>
    <t>Child Education Fund</t>
  </si>
  <si>
    <t>Itemized deductions</t>
  </si>
  <si>
    <t>Home Mortgage Interest</t>
  </si>
  <si>
    <t>Investment Interest</t>
  </si>
  <si>
    <t>Gifts to Charity</t>
  </si>
  <si>
    <t>Taxes Withheld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</si>
  <si>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</si>
  <si>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</si>
  <si>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</si>
  <si>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</si>
  <si>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</si>
  <si>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</si>
  <si>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</si>
  <si>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</si>
  <si>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</si>
  <si>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</si>
  <si>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</si>
  <si>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</si>
  <si>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</si>
  <si>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Total Revenue</t>
  </si>
  <si>
    <t>Total Expenses</t>
  </si>
  <si>
    <t>RENT</t>
  </si>
  <si>
    <t>ELECTRICITY</t>
  </si>
  <si>
    <t>WASTE</t>
  </si>
  <si>
    <t xml:space="preserve"> $-   </t>
  </si>
  <si>
    <t>EQUIPMENT LEASING</t>
  </si>
  <si>
    <t>Mobile Device (moto)</t>
  </si>
  <si>
    <t>Appliance Maintenance</t>
  </si>
  <si>
    <t>Business Insurance</t>
  </si>
  <si>
    <t>Coca Cola Machine</t>
  </si>
  <si>
    <t>WA DOR</t>
  </si>
  <si>
    <t>2017 Excise</t>
  </si>
  <si>
    <t>Garnishment Fee</t>
  </si>
  <si>
    <t>Food Inventory</t>
  </si>
  <si>
    <t>Supplies</t>
  </si>
  <si>
    <t>STATIONARIES</t>
  </si>
  <si>
    <t>PAYROLL</t>
  </si>
  <si>
    <t>SS withheld by ADP</t>
  </si>
  <si>
    <t>Medicare Tax Withheld by ADP</t>
  </si>
  <si>
    <t xml:space="preserve">Fed Tax Withheld </t>
  </si>
  <si>
    <t>TEMP SERVICES</t>
  </si>
  <si>
    <t>ADP Fees</t>
  </si>
  <si>
    <t>Bank Fees</t>
  </si>
  <si>
    <t>Unclaimed Contract Labor</t>
  </si>
  <si>
    <t>LAUNDRY</t>
  </si>
  <si>
    <t>Professional Fees</t>
  </si>
  <si>
    <t>WEB HOSTING</t>
  </si>
  <si>
    <t>Comcast Business BROADBAND</t>
  </si>
  <si>
    <t>PHONE</t>
  </si>
  <si>
    <t>CELLULAR</t>
  </si>
  <si>
    <t>Digital Ads</t>
  </si>
  <si>
    <t>Asbestos</t>
  </si>
  <si>
    <t>Flooring Cement</t>
  </si>
  <si>
    <t>Paint</t>
  </si>
  <si>
    <t>Ceiling Speakers</t>
  </si>
  <si>
    <t>low voltage wiring</t>
  </si>
  <si>
    <t>iPads Two</t>
  </si>
  <si>
    <t>iPad Stand</t>
  </si>
  <si>
    <t>Cash Drawer</t>
  </si>
  <si>
    <t>Bathroom Holder</t>
  </si>
  <si>
    <t>Furniture Fraud</t>
  </si>
  <si>
    <t>Remodeling Fraud</t>
  </si>
  <si>
    <t>Ratio of Home Use</t>
  </si>
  <si>
    <t>Mortgage Interest</t>
  </si>
  <si>
    <t>Water</t>
  </si>
  <si>
    <t>Security</t>
  </si>
  <si>
    <t>Landscaping</t>
  </si>
  <si>
    <t>Home Owners Insurance</t>
  </si>
  <si>
    <t>Mobile Device (samsung)</t>
  </si>
  <si>
    <t>ASUS Laptop</t>
  </si>
  <si>
    <t>Biz Registration</t>
  </si>
  <si>
    <t>DOR</t>
  </si>
  <si>
    <t>LNI Insurance</t>
  </si>
  <si>
    <t>W2 Ethan Rose</t>
  </si>
  <si>
    <t>1099 Shirish Sharma</t>
  </si>
  <si>
    <t>BROADBAND</t>
  </si>
  <si>
    <t>Mobile</t>
  </si>
  <si>
    <t>Logo Services</t>
  </si>
  <si>
    <t>Temp Services</t>
  </si>
  <si>
    <t>Professional Services</t>
  </si>
  <si>
    <t>Flooring</t>
  </si>
  <si>
    <t>bathroom</t>
  </si>
  <si>
    <t>electrical work</t>
  </si>
  <si>
    <t>Auto Mileage (client visits)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</si>
  <si>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</si>
  <si>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</si>
  <si>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</si>
  <si>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</si>
  <si>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</si>
  <si>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</si>
  <si>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</si>
  <si>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</si>
  <si>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LinkedIn</t>
  </si>
  <si>
    <t>Real Estate Taxes (Condo)</t>
  </si>
  <si>
    <t>Real Estate Taxes (Home)</t>
  </si>
  <si>
    <t>Medical/Dental HSA</t>
  </si>
  <si>
    <t>2018 only</t>
  </si>
  <si>
    <t>2018 ONLY</t>
  </si>
  <si>
    <t>1099 Revenue</t>
  </si>
  <si>
    <t>2018 IRS rate</t>
  </si>
  <si>
    <t>godaddy</t>
  </si>
  <si>
    <t>xfiniti</t>
  </si>
  <si>
    <t>t-mobile</t>
  </si>
  <si>
    <t>google/fb</t>
  </si>
  <si>
    <t>logo</t>
  </si>
  <si>
    <t>misc.</t>
  </si>
  <si>
    <t>Fed 76.44; FICA 62; Medicare 14.5</t>
  </si>
  <si>
    <t>Zach DeVita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</si>
</sst>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b/>
      <sz val="11"/>
      <color rgb="FF70AD47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44" fontId="0" fillId="0" borderId="0" xfId="1" applyFont="1"/>
    <xf numFmtId="0" fontId="3" fillId="0" borderId="0" xfId="0" applyFont="1"/>
    <xf numFmtId="8" fontId="0" fillId="0" borderId="0" xfId="0" applyNumberFormat="1"/>
    <xf numFmtId="44" fontId="2" fillId="0" borderId="0" xfId="1" applyFont="1"/>
    <xf numFmtId="44" fontId="4" fillId="0" borderId="0" xfId="1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5" fillId="0" borderId="0" xfId="0" applyFont="1"/>
    <xf numFmtId="0" fontId="6" fillId="3" borderId="0" xfId="0" applyFont="1" applyFill="1" applyAlignment="1">
      <alignment horizontal="center"/>
    </xf>
    <xf numFmtId="8" fontId="5" fillId="0" borderId="0" xfId="0" applyNumberFormat="1" applyFont="1"/>
    <xf numFmtId="0" fontId="7" fillId="0" borderId="0" xfId="0" applyFont="1"/>
    <xf numFmtId="8" fontId="7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left" indent="2"/>
    </xf>
    <xf numFmtId="8" fontId="0" fillId="0" borderId="0" xfId="1" applyNumberFormat="1" applyFont="1"/>
    <xf numFmtId="164" fontId="5" fillId="0" borderId="0" xfId="0" applyNumberFormat="1" applyFont="1"/>
    <xf numFmtId="164" fontId="7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0" fontId="5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0" xfId="0" applyFont="1" applyBorder="1"/>
    <xf numFmtId="0" fontId="6" fillId="3" borderId="0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0" fillId="0" borderId="4" xfId="0" applyFont="1" applyBorder="1"/>
    <xf numFmtId="0" fontId="10" fillId="0" borderId="0" xfId="0" applyFont="1" applyBorder="1"/>
    <xf numFmtId="8" fontId="10" fillId="0" borderId="0" xfId="0" applyNumberFormat="1" applyFont="1" applyBorder="1"/>
    <xf numFmtId="0" fontId="5" fillId="0" borderId="5" xfId="0" applyFont="1" applyBorder="1"/>
    <xf numFmtId="0" fontId="7" fillId="0" borderId="4" xfId="0" applyFont="1" applyBorder="1"/>
    <xf numFmtId="8" fontId="7" fillId="0" borderId="0" xfId="0" applyNumberFormat="1" applyFont="1" applyBorder="1"/>
    <xf numFmtId="8" fontId="5" fillId="0" borderId="0" xfId="0" applyNumberFormat="1" applyFont="1" applyBorder="1"/>
    <xf numFmtId="164" fontId="5" fillId="0" borderId="0" xfId="0" applyNumberFormat="1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8" fontId="10" fillId="0" borderId="5" xfId="0" applyNumberFormat="1" applyFont="1" applyBorder="1"/>
    <xf numFmtId="8" fontId="7" fillId="0" borderId="5" xfId="0" applyNumberFormat="1" applyFont="1" applyBorder="1"/>
    <xf numFmtId="8" fontId="5" fillId="0" borderId="5" xfId="0" applyNumberFormat="1" applyFont="1" applyBorder="1"/>
    <xf numFmtId="164" fontId="5" fillId="0" borderId="5" xfId="0" applyNumberFormat="1" applyFont="1" applyBorder="1"/>
    <xf numFmtId="0" fontId="8" fillId="0" borderId="4" xfId="0" applyFont="1" applyBorder="1"/>
    <xf numFmtId="0" fontId="13" fillId="4" borderId="4" xfId="0" applyFont="1" applyFill="1" applyBorder="1" applyAlignment="1">
      <alignment horizontal="center"/>
    </xf>
    <xf numFmtId="0" fontId="13" fillId="4" borderId="0" xfId="0" applyFont="1" applyFill="1" applyBorder="1"/>
    <xf numFmtId="44" fontId="5" fillId="0" borderId="2" xfId="1" applyFont="1" applyBorder="1"/>
    <xf numFmtId="44" fontId="5" fillId="0" borderId="0" xfId="1" applyFont="1" applyBorder="1"/>
    <xf numFmtId="44" fontId="10" fillId="0" borderId="0" xfId="1" applyFont="1" applyBorder="1"/>
    <xf numFmtId="44" fontId="8" fillId="0" borderId="0" xfId="1" applyFont="1" applyBorder="1"/>
    <xf numFmtId="44" fontId="7" fillId="0" borderId="0" xfId="1" applyFont="1" applyBorder="1"/>
    <xf numFmtId="44" fontId="0" fillId="0" borderId="0" xfId="1" applyFont="1" applyBorder="1"/>
    <xf numFmtId="44" fontId="0" fillId="0" borderId="7" xfId="1" applyFont="1" applyBorder="1"/>
    <xf numFmtId="8" fontId="5" fillId="0" borderId="0" xfId="1" applyNumberFormat="1" applyFont="1" applyBorder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sh Nath" id="{956B648D-5EC0-4D44-8397-C7334502D5B9}" userId="S::jish.nath@cloudbaud.com::842c2e1c-c519-437b-a769-0b0c4cdb17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1-09-15T15:15:14.48" personId="{956B648D-5EC0-4D44-8397-C7334502D5B9}" id="{920324D9-8055-4D89-8794-FBCDA52AED79}">
    <text>@David  Inventory is what i am working on right now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B5E8-56AE-461E-BBCC-75932865A0FF}">
  <dimension ref="B2:G33"/>
  <sheetViews>
    <sheetView workbookViewId="0">
      <selection activeCell="Q18" sqref="Q18"/>
    </sheetView>
  </sheetViews>
  <sheetFormatPr defaultRowHeight="15" x14ac:dyDescent="0.25"/>
  <cols>
    <col min="2" max="2" width="24.140625" bestFit="1" customWidth="1"/>
    <col min="4" max="4" width="12.140625" customWidth="1"/>
    <col min="5" max="7" width="11.5703125" bestFit="1" customWidth="1"/>
  </cols>
  <sheetData>
    <row r="2" spans="2:7" x14ac:dyDescent="0.25">
      <c r="D2" s="6">
        <v>2017</v>
      </c>
      <c r="E2" s="6">
        <v>2018</v>
      </c>
      <c r="F2" s="6">
        <v>2019</v>
      </c>
      <c r="G2" s="6">
        <v>2020</v>
      </c>
    </row>
    <row r="3" spans="2:7" x14ac:dyDescent="0.25">
      <c r="B3" t="s">
        <v>0</v>
      </c>
      <c r="D3" s="1">
        <v>63132.46</v>
      </c>
      <c r="E3" s="1">
        <v>70399.570000000007</v>
      </c>
      <c r="F3" s="1">
        <v>84444.89</v>
      </c>
      <c r="G3" s="1">
        <v>69549.66</v>
      </c>
    </row>
    <row r="4" spans="2:7" x14ac:dyDescent="0.25">
      <c r="D4" s="1"/>
      <c r="E4" s="1"/>
      <c r="F4" s="1"/>
      <c r="G4" s="1"/>
    </row>
    <row r="5" spans="2:7" x14ac:dyDescent="0.25">
      <c r="B5" t="s">
        <v>1</v>
      </c>
      <c r="D5" s="1"/>
      <c r="E5" s="1"/>
      <c r="F5" s="1"/>
      <c r="G5" s="1"/>
    </row>
    <row r="6" spans="2:7" x14ac:dyDescent="0.25">
      <c r="B6" s="7" t="s">
        <v>2</v>
      </c>
      <c r="D6" s="15">
        <f>Robertos!D3-Robertos!D4</f>
        <v>-44581.919999999969</v>
      </c>
      <c r="E6" s="1"/>
      <c r="F6" s="1"/>
      <c r="G6" s="1"/>
    </row>
    <row r="7" spans="2:7" x14ac:dyDescent="0.25">
      <c r="B7" s="7" t="s">
        <v>3</v>
      </c>
      <c r="D7" s="15">
        <f>CloudBaud!E3-CloudBaud!E5</f>
        <v>445630.52609999996</v>
      </c>
      <c r="E7" s="1"/>
      <c r="F7" s="1"/>
      <c r="G7" s="1"/>
    </row>
    <row r="8" spans="2:7" x14ac:dyDescent="0.25">
      <c r="D8" s="1"/>
      <c r="E8" s="1"/>
      <c r="F8" s="1"/>
      <c r="G8" s="1"/>
    </row>
    <row r="9" spans="2:7" x14ac:dyDescent="0.25">
      <c r="B9" t="s">
        <v>4</v>
      </c>
      <c r="D9" s="4">
        <f>-1*32307.82</f>
        <v>-32307.82</v>
      </c>
      <c r="E9" s="1"/>
      <c r="F9" s="1"/>
      <c r="G9" s="1"/>
    </row>
    <row r="10" spans="2:7" x14ac:dyDescent="0.25">
      <c r="D10" s="4"/>
      <c r="E10" s="1"/>
      <c r="F10" s="1"/>
      <c r="G10" s="1"/>
    </row>
    <row r="11" spans="2:7" x14ac:dyDescent="0.25">
      <c r="B11" t="s">
        <v>5</v>
      </c>
      <c r="D11" s="5">
        <v>5500</v>
      </c>
      <c r="E11" s="5"/>
      <c r="F11" s="5"/>
      <c r="G11" s="5"/>
    </row>
    <row r="12" spans="2:7" x14ac:dyDescent="0.25">
      <c r="B12" t="s">
        <v>6</v>
      </c>
      <c r="D12" s="5">
        <v>5500</v>
      </c>
      <c r="E12" s="5">
        <v>5500</v>
      </c>
      <c r="F12" s="5"/>
      <c r="G12" s="5"/>
    </row>
    <row r="13" spans="2:7" x14ac:dyDescent="0.25">
      <c r="B13" t="s">
        <v>7</v>
      </c>
      <c r="D13" s="5">
        <v>5244.9</v>
      </c>
      <c r="E13" s="1">
        <v>43605.599999999999</v>
      </c>
      <c r="F13" s="1"/>
      <c r="G13" s="1"/>
    </row>
    <row r="14" spans="2:7" x14ac:dyDescent="0.25">
      <c r="B14" t="s">
        <v>8</v>
      </c>
      <c r="D14" s="5">
        <v>0</v>
      </c>
      <c r="E14" s="1">
        <v>4862.99</v>
      </c>
      <c r="F14" s="1"/>
      <c r="G14" s="1"/>
    </row>
    <row r="15" spans="2:7" x14ac:dyDescent="0.25">
      <c r="B15" t="s">
        <v>9</v>
      </c>
      <c r="D15" s="5">
        <v>4000</v>
      </c>
      <c r="E15" s="1"/>
      <c r="F15" s="1"/>
      <c r="G15" s="1"/>
    </row>
    <row r="16" spans="2:7" x14ac:dyDescent="0.25">
      <c r="D16" s="1"/>
      <c r="E16" s="1"/>
      <c r="F16" s="1"/>
      <c r="G16" s="1"/>
    </row>
    <row r="17" spans="2:7" x14ac:dyDescent="0.25">
      <c r="B17" s="2" t="s">
        <v>10</v>
      </c>
      <c r="D17" s="1"/>
      <c r="E17" s="1"/>
      <c r="F17" s="1"/>
      <c r="G17" s="1"/>
    </row>
    <row r="18" spans="2:7" x14ac:dyDescent="0.25">
      <c r="B18" t="s">
        <v>104</v>
      </c>
      <c r="D18" s="1">
        <v>4050</v>
      </c>
      <c r="E18" s="1">
        <v>5800</v>
      </c>
      <c r="F18" s="1"/>
      <c r="G18" s="1"/>
    </row>
    <row r="19" spans="2:7" x14ac:dyDescent="0.25">
      <c r="B19" t="s">
        <v>103</v>
      </c>
      <c r="D19" s="3">
        <v>5009.22</v>
      </c>
      <c r="E19" s="1">
        <v>6191.31</v>
      </c>
      <c r="F19" s="1">
        <v>6633.65</v>
      </c>
      <c r="G19" s="1">
        <v>7191.32</v>
      </c>
    </row>
    <row r="20" spans="2:7" x14ac:dyDescent="0.25">
      <c r="B20" t="s">
        <v>102</v>
      </c>
      <c r="D20" s="1"/>
      <c r="E20" s="1">
        <v>2761.75</v>
      </c>
      <c r="F20" s="1">
        <v>2724.69</v>
      </c>
      <c r="G20" s="1">
        <v>3186.17</v>
      </c>
    </row>
    <row r="21" spans="2:7" x14ac:dyDescent="0.25">
      <c r="D21" s="1"/>
      <c r="E21" s="1"/>
      <c r="F21" s="1"/>
      <c r="G21" s="1"/>
    </row>
    <row r="22" spans="2:7" x14ac:dyDescent="0.25">
      <c r="B22" t="s">
        <v>11</v>
      </c>
      <c r="D22" s="1">
        <v>17619.669999999998</v>
      </c>
      <c r="E22" s="1">
        <v>13698.52</v>
      </c>
      <c r="F22" s="1">
        <v>18719.36</v>
      </c>
      <c r="G22" s="1">
        <v>16431.02</v>
      </c>
    </row>
    <row r="23" spans="2:7" x14ac:dyDescent="0.25">
      <c r="B23" t="s">
        <v>12</v>
      </c>
      <c r="D23">
        <v>115.94</v>
      </c>
    </row>
    <row r="25" spans="2:7" x14ac:dyDescent="0.25">
      <c r="B25" t="s">
        <v>13</v>
      </c>
      <c r="D25" s="1">
        <v>500</v>
      </c>
      <c r="E25" s="1"/>
      <c r="F25" s="1"/>
      <c r="G25" s="1"/>
    </row>
    <row r="26" spans="2:7" x14ac:dyDescent="0.25">
      <c r="D26" s="1"/>
      <c r="E26" s="1"/>
      <c r="F26" s="1"/>
      <c r="G26" s="1"/>
    </row>
    <row r="27" spans="2:7" x14ac:dyDescent="0.25">
      <c r="D27" s="1"/>
      <c r="E27" s="1"/>
      <c r="F27" s="1"/>
      <c r="G27" s="1"/>
    </row>
    <row r="28" spans="2:7" x14ac:dyDescent="0.25">
      <c r="B28" t="s">
        <v>14</v>
      </c>
      <c r="D28" s="1">
        <v>7909.36</v>
      </c>
      <c r="E28" s="1">
        <v>7675.56</v>
      </c>
      <c r="F28" s="1">
        <v>12386.28</v>
      </c>
      <c r="G28" s="1">
        <v>10423.75</v>
      </c>
    </row>
    <row r="29" spans="2:7" x14ac:dyDescent="0.25">
      <c r="D29" s="1"/>
      <c r="E29" s="1"/>
      <c r="F29" s="1"/>
      <c r="G29" s="1"/>
    </row>
    <row r="30" spans="2:7" x14ac:dyDescent="0.25">
      <c r="D30" s="1"/>
      <c r="E30" s="1"/>
      <c r="F30" s="1"/>
      <c r="G30" s="1"/>
    </row>
    <row r="31" spans="2:7" x14ac:dyDescent="0.25">
      <c r="D31" s="1"/>
      <c r="E31" s="1"/>
      <c r="F31" s="1"/>
      <c r="G31" s="1"/>
    </row>
    <row r="32" spans="2:7" x14ac:dyDescent="0.25">
      <c r="D32" s="1"/>
      <c r="E32" s="1"/>
      <c r="F32" s="1"/>
      <c r="G32" s="1"/>
    </row>
    <row r="33" spans="4:7" x14ac:dyDescent="0.25">
      <c r="D33" s="1"/>
      <c r="E33" s="1"/>
      <c r="F33" s="1"/>
      <c r="G33" s="1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953B-A648-48C4-AA01-152E9D7B00F9}">
  <dimension ref="B1:S59"/>
  <sheetViews>
    <sheetView tabSelected="1" workbookViewId="0">
      <pane xSplit="19" ySplit="2" topLeftCell="T3" activePane="bottomRight" state="frozen"/>
      <selection pane="topRight"/>
      <selection pane="bottomLeft"/>
      <selection pane="bottomRight" activeCell="X24" sqref="X24"/>
    </sheetView>
  </sheetViews>
  <sheetFormatPr defaultRowHeight="15" x14ac:dyDescent="0.25"/>
  <cols>
    <col min="2" max="2" width="13.5703125" customWidth="1"/>
    <col min="3" max="3" width="23.140625" customWidth="1"/>
    <col min="4" max="4" width="6" bestFit="1" customWidth="1"/>
    <col min="5" max="5" width="12.5703125" style="1" bestFit="1" customWidth="1"/>
    <col min="6" max="7" width="12.5703125" style="1" customWidth="1"/>
    <col min="9" max="19" width="11.42578125" bestFit="1" customWidth="1"/>
  </cols>
  <sheetData>
    <row r="1" spans="3:19" x14ac:dyDescent="0.25">
      <c r="C1" s="20"/>
      <c r="D1" s="21"/>
      <c r="E1" s="47"/>
      <c r="F1" s="47"/>
      <c r="G1" s="47"/>
      <c r="H1" s="55" t="s">
        <v>106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</row>
    <row r="2" spans="3:19" x14ac:dyDescent="0.25">
      <c r="C2" s="22"/>
      <c r="D2" s="23"/>
      <c r="E2" s="48"/>
      <c r="F2" s="48"/>
      <c r="G2" s="48"/>
      <c r="H2" s="24" t="s">
        <v>15</v>
      </c>
      <c r="I2" s="24" t="s">
        <v>16</v>
      </c>
      <c r="J2" s="24" t="s">
        <v>17</v>
      </c>
      <c r="K2" s="24" t="s">
        <v>18</v>
      </c>
      <c r="L2" s="24" t="s">
        <v>19</v>
      </c>
      <c r="M2" s="24" t="s">
        <v>20</v>
      </c>
      <c r="N2" s="24" t="s">
        <v>21</v>
      </c>
      <c r="O2" s="24" t="s">
        <v>22</v>
      </c>
      <c r="P2" s="24" t="s">
        <v>23</v>
      </c>
      <c r="Q2" s="24" t="s">
        <v>24</v>
      </c>
      <c r="R2" s="24" t="s">
        <v>25</v>
      </c>
      <c r="S2" s="25" t="s">
        <v>26</v>
      </c>
    </row>
    <row r="3" spans="3:19" x14ac:dyDescent="0.25">
      <c r="C3" s="26" t="s">
        <v>107</v>
      </c>
      <c r="D3" s="35"/>
      <c r="E3" s="49">
        <v>485019.41</v>
      </c>
      <c r="F3" s="49"/>
      <c r="G3" s="49"/>
      <c r="H3" s="27"/>
      <c r="I3" s="28"/>
      <c r="J3" s="28"/>
      <c r="K3" s="28"/>
      <c r="L3" s="28"/>
      <c r="M3" s="28"/>
      <c r="N3" s="28"/>
      <c r="O3" s="28"/>
      <c r="P3" s="28"/>
      <c r="Q3" s="28"/>
      <c r="R3" s="28"/>
      <c r="S3" s="40"/>
    </row>
    <row r="4" spans="3:19" x14ac:dyDescent="0.25">
      <c r="C4" s="22"/>
      <c r="D4" s="23"/>
      <c r="E4" s="50"/>
      <c r="F4" s="50"/>
      <c r="G4" s="50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9"/>
    </row>
    <row r="5" spans="3:19" x14ac:dyDescent="0.25">
      <c r="C5" s="30" t="s">
        <v>29</v>
      </c>
      <c r="D5" s="35"/>
      <c r="E5" s="51">
        <f>SUM(E7:E58)</f>
        <v>39388.883900000001</v>
      </c>
      <c r="F5" s="51"/>
      <c r="G5" s="5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41"/>
    </row>
    <row r="6" spans="3:19" x14ac:dyDescent="0.25">
      <c r="C6" s="45" t="s">
        <v>71</v>
      </c>
      <c r="D6" s="46">
        <v>0.17</v>
      </c>
      <c r="E6" s="48"/>
      <c r="F6" s="48"/>
      <c r="G6" s="48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9"/>
    </row>
    <row r="7" spans="3:19" x14ac:dyDescent="0.25">
      <c r="C7" s="22" t="s">
        <v>72</v>
      </c>
      <c r="D7" s="35"/>
      <c r="E7" s="48">
        <f>17619.67*D6</f>
        <v>2995.3438999999998</v>
      </c>
      <c r="F7" s="48"/>
      <c r="G7" s="48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9"/>
    </row>
    <row r="8" spans="3:19" x14ac:dyDescent="0.25">
      <c r="C8" s="22" t="s">
        <v>31</v>
      </c>
      <c r="D8" s="35"/>
      <c r="E8" s="48">
        <v>372.9</v>
      </c>
      <c r="F8" s="48"/>
      <c r="G8" s="54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42"/>
    </row>
    <row r="9" spans="3:19" x14ac:dyDescent="0.25">
      <c r="C9" s="22" t="s">
        <v>32</v>
      </c>
      <c r="D9" s="35"/>
      <c r="E9" s="48">
        <v>99.66</v>
      </c>
      <c r="F9" s="48"/>
      <c r="G9" s="54"/>
      <c r="H9" s="23"/>
      <c r="I9" s="23"/>
      <c r="J9" s="32"/>
      <c r="K9" s="32"/>
      <c r="L9" s="23"/>
      <c r="M9" s="32"/>
      <c r="N9" s="32"/>
      <c r="O9" s="32"/>
      <c r="P9" s="32"/>
      <c r="Q9" s="23"/>
      <c r="R9" s="23"/>
      <c r="S9" s="42"/>
    </row>
    <row r="10" spans="3:19" x14ac:dyDescent="0.25">
      <c r="C10" s="22" t="s">
        <v>73</v>
      </c>
      <c r="D10" s="35"/>
      <c r="E10" s="48">
        <v>378.22</v>
      </c>
      <c r="F10" s="48"/>
      <c r="G10" s="54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42"/>
    </row>
    <row r="11" spans="3:19" x14ac:dyDescent="0.25">
      <c r="C11" s="22" t="s">
        <v>74</v>
      </c>
      <c r="D11" s="35"/>
      <c r="E11" s="48">
        <v>100</v>
      </c>
      <c r="F11" s="48"/>
      <c r="G11" s="54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9"/>
    </row>
    <row r="12" spans="3:19" x14ac:dyDescent="0.25">
      <c r="C12" s="22" t="s">
        <v>75</v>
      </c>
      <c r="D12" s="35"/>
      <c r="E12" s="48">
        <f>F12</f>
        <v>285.60000000000002</v>
      </c>
      <c r="F12" s="48">
        <f>G12*D6</f>
        <v>285.60000000000002</v>
      </c>
      <c r="G12" s="54">
        <f>SUM(H12:S12)</f>
        <v>1680</v>
      </c>
      <c r="H12" s="32">
        <v>140</v>
      </c>
      <c r="I12" s="32">
        <v>140</v>
      </c>
      <c r="J12" s="32">
        <v>140</v>
      </c>
      <c r="K12" s="32">
        <v>140</v>
      </c>
      <c r="L12" s="32">
        <v>140</v>
      </c>
      <c r="M12" s="32">
        <v>140</v>
      </c>
      <c r="N12" s="32">
        <v>140</v>
      </c>
      <c r="O12" s="32">
        <v>140</v>
      </c>
      <c r="P12" s="32">
        <v>140</v>
      </c>
      <c r="Q12" s="32">
        <v>140</v>
      </c>
      <c r="R12" s="32">
        <v>140</v>
      </c>
      <c r="S12" s="32">
        <v>140</v>
      </c>
    </row>
    <row r="13" spans="3:19" x14ac:dyDescent="0.25">
      <c r="C13" s="22" t="s">
        <v>76</v>
      </c>
      <c r="D13" s="35"/>
      <c r="E13" s="48">
        <f>1402*D6</f>
        <v>238.34</v>
      </c>
      <c r="F13" s="48"/>
      <c r="G13" s="54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9"/>
    </row>
    <row r="14" spans="3:19" x14ac:dyDescent="0.25">
      <c r="C14" s="22" t="s">
        <v>77</v>
      </c>
      <c r="D14" s="35"/>
      <c r="E14" s="48"/>
      <c r="F14" s="48"/>
      <c r="G14" s="54"/>
      <c r="H14" s="23"/>
      <c r="I14" s="23"/>
      <c r="J14" s="23"/>
      <c r="K14" s="23"/>
      <c r="L14" s="23"/>
      <c r="M14" s="23"/>
      <c r="N14" s="23"/>
      <c r="O14" s="23"/>
      <c r="P14" s="32"/>
      <c r="Q14" s="32"/>
      <c r="R14" s="32"/>
      <c r="S14" s="42"/>
    </row>
    <row r="15" spans="3:19" x14ac:dyDescent="0.25">
      <c r="C15" s="22" t="s">
        <v>78</v>
      </c>
      <c r="D15" s="35"/>
      <c r="E15" s="48"/>
      <c r="F15" s="48"/>
      <c r="G15" s="54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9"/>
    </row>
    <row r="16" spans="3:19" x14ac:dyDescent="0.25">
      <c r="C16" s="22" t="s">
        <v>36</v>
      </c>
      <c r="D16" s="35"/>
      <c r="E16" s="48">
        <f>D6*SUM(H16:S16)</f>
        <v>0</v>
      </c>
      <c r="F16" s="48"/>
      <c r="G16" s="54"/>
      <c r="H16" s="2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43"/>
    </row>
    <row r="17" spans="3:19" x14ac:dyDescent="0.25">
      <c r="C17" s="22"/>
      <c r="D17" s="35"/>
      <c r="E17" s="48"/>
      <c r="F17" s="48"/>
      <c r="G17" s="54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9"/>
    </row>
    <row r="18" spans="3:19" x14ac:dyDescent="0.25">
      <c r="C18" s="22" t="s">
        <v>79</v>
      </c>
      <c r="D18" s="35"/>
      <c r="E18" s="48">
        <v>19</v>
      </c>
      <c r="F18" s="48"/>
      <c r="G18" s="5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2"/>
    </row>
    <row r="19" spans="3:19" x14ac:dyDescent="0.25">
      <c r="C19" s="22" t="s">
        <v>80</v>
      </c>
      <c r="D19" s="35"/>
      <c r="E19" s="48">
        <v>100</v>
      </c>
      <c r="F19" s="48"/>
      <c r="G19" s="54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9"/>
    </row>
    <row r="20" spans="3:19" x14ac:dyDescent="0.25">
      <c r="C20" s="22"/>
      <c r="D20" s="35"/>
      <c r="E20" s="48"/>
      <c r="F20" s="48"/>
      <c r="G20" s="54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9"/>
    </row>
    <row r="21" spans="3:19" x14ac:dyDescent="0.25">
      <c r="C21" s="22" t="s">
        <v>39</v>
      </c>
      <c r="D21" s="35"/>
      <c r="E21" s="48" t="s">
        <v>33</v>
      </c>
      <c r="F21" s="48"/>
      <c r="G21" s="54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9"/>
    </row>
    <row r="22" spans="3:19" x14ac:dyDescent="0.25">
      <c r="C22" s="22" t="s">
        <v>41</v>
      </c>
      <c r="D22" s="35"/>
      <c r="E22" s="48" t="s">
        <v>33</v>
      </c>
      <c r="F22" s="48"/>
      <c r="G22" s="5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9"/>
    </row>
    <row r="23" spans="3:19" x14ac:dyDescent="0.25">
      <c r="C23" s="22" t="s">
        <v>81</v>
      </c>
      <c r="D23" s="35"/>
      <c r="E23" s="48">
        <v>2000</v>
      </c>
      <c r="F23" s="48"/>
      <c r="G23" s="54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9"/>
    </row>
    <row r="24" spans="3:19" x14ac:dyDescent="0.25">
      <c r="C24" s="22"/>
      <c r="D24" s="35"/>
      <c r="E24" s="48"/>
      <c r="F24" s="48"/>
      <c r="G24" s="54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9"/>
    </row>
    <row r="25" spans="3:19" x14ac:dyDescent="0.25">
      <c r="C25" s="22" t="s">
        <v>43</v>
      </c>
      <c r="D25" s="35"/>
      <c r="E25" s="48">
        <v>500</v>
      </c>
      <c r="F25" s="48"/>
      <c r="G25" s="54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9"/>
    </row>
    <row r="26" spans="3:19" x14ac:dyDescent="0.25">
      <c r="C26" s="22" t="s">
        <v>44</v>
      </c>
      <c r="D26" s="35"/>
      <c r="E26" s="48">
        <v>500</v>
      </c>
      <c r="F26" s="48"/>
      <c r="G26" s="54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9"/>
    </row>
    <row r="27" spans="3:19" x14ac:dyDescent="0.25">
      <c r="C27" s="44" t="s">
        <v>45</v>
      </c>
      <c r="D27" s="35"/>
      <c r="E27" s="50"/>
      <c r="F27" s="50"/>
      <c r="G27" s="54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9"/>
    </row>
    <row r="28" spans="3:19" x14ac:dyDescent="0.25">
      <c r="C28" s="22" t="s">
        <v>82</v>
      </c>
      <c r="D28" s="35"/>
      <c r="E28" s="48">
        <f>847.06+1000</f>
        <v>1847.06</v>
      </c>
      <c r="F28" s="48"/>
      <c r="G28" s="5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9"/>
    </row>
    <row r="29" spans="3:19" x14ac:dyDescent="0.25">
      <c r="C29" s="22" t="s">
        <v>115</v>
      </c>
      <c r="D29" s="35"/>
      <c r="E29" s="48"/>
      <c r="F29" s="48"/>
      <c r="G29" s="54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9"/>
    </row>
    <row r="30" spans="3:19" x14ac:dyDescent="0.25">
      <c r="C30" s="22" t="s">
        <v>116</v>
      </c>
      <c r="D30" s="35"/>
      <c r="E30" s="48"/>
      <c r="F30" s="48"/>
      <c r="G30" s="54"/>
      <c r="H30" s="23"/>
      <c r="I30" s="23"/>
      <c r="J30" s="23"/>
      <c r="K30" s="23"/>
      <c r="L30" s="23"/>
      <c r="M30" s="32"/>
      <c r="N30" s="32"/>
      <c r="O30" s="32"/>
      <c r="P30" s="32"/>
      <c r="Q30" s="23"/>
      <c r="R30" s="23"/>
      <c r="S30" s="29"/>
    </row>
    <row r="31" spans="3:19" x14ac:dyDescent="0.25">
      <c r="C31" s="22" t="s">
        <v>83</v>
      </c>
      <c r="D31" s="35"/>
      <c r="E31" s="48">
        <v>25560</v>
      </c>
      <c r="F31" s="48"/>
      <c r="G31" s="54"/>
      <c r="H31" s="23"/>
      <c r="I31" s="23"/>
      <c r="J31" s="23"/>
      <c r="K31" s="23"/>
      <c r="L31" s="23"/>
      <c r="M31" s="23"/>
      <c r="N31" s="23"/>
      <c r="O31" s="23"/>
      <c r="P31" s="32"/>
      <c r="Q31" s="32"/>
      <c r="R31" s="32"/>
      <c r="S31" s="42"/>
    </row>
    <row r="32" spans="3:19" x14ac:dyDescent="0.25">
      <c r="C32" s="22"/>
      <c r="D32" s="35"/>
      <c r="E32" s="48"/>
      <c r="F32" s="48"/>
      <c r="G32" s="54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9"/>
    </row>
    <row r="33" spans="2:19" x14ac:dyDescent="0.25">
      <c r="B33" t="s">
        <v>109</v>
      </c>
      <c r="C33" s="22" t="s">
        <v>55</v>
      </c>
      <c r="D33" s="35"/>
      <c r="E33" s="48">
        <v>360</v>
      </c>
      <c r="F33" s="48"/>
      <c r="G33" s="54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9"/>
    </row>
    <row r="34" spans="2:19" x14ac:dyDescent="0.25">
      <c r="B34" t="s">
        <v>110</v>
      </c>
      <c r="C34" s="22" t="s">
        <v>84</v>
      </c>
      <c r="D34" s="23">
        <v>0.5</v>
      </c>
      <c r="E34" s="48">
        <v>282.20999999999998</v>
      </c>
      <c r="F34" s="48"/>
      <c r="G34" s="54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42"/>
    </row>
    <row r="35" spans="2:19" x14ac:dyDescent="0.25">
      <c r="B35" t="s">
        <v>111</v>
      </c>
      <c r="C35" s="22" t="s">
        <v>85</v>
      </c>
      <c r="D35" s="23">
        <v>0.5</v>
      </c>
      <c r="E35" s="48">
        <v>730.55</v>
      </c>
      <c r="F35" s="48"/>
      <c r="G35" s="54"/>
      <c r="H35" s="32"/>
      <c r="I35" s="32"/>
      <c r="J35" s="32"/>
      <c r="K35" s="23"/>
      <c r="L35" s="23"/>
      <c r="M35" s="32"/>
      <c r="N35" s="32"/>
      <c r="O35" s="32"/>
      <c r="P35" s="32"/>
      <c r="Q35" s="32"/>
      <c r="R35" s="32"/>
      <c r="S35" s="42"/>
    </row>
    <row r="36" spans="2:19" x14ac:dyDescent="0.25">
      <c r="B36" t="s">
        <v>112</v>
      </c>
      <c r="C36" s="22" t="s">
        <v>59</v>
      </c>
      <c r="D36" s="35"/>
      <c r="E36" s="48" t="s">
        <v>33</v>
      </c>
      <c r="F36" s="48"/>
      <c r="G36" s="54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9"/>
    </row>
    <row r="37" spans="2:19" x14ac:dyDescent="0.25">
      <c r="B37" t="s">
        <v>113</v>
      </c>
      <c r="C37" s="22" t="s">
        <v>86</v>
      </c>
      <c r="D37" s="35"/>
      <c r="E37" s="48">
        <v>60</v>
      </c>
      <c r="F37" s="48"/>
      <c r="G37" s="54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43"/>
    </row>
    <row r="38" spans="2:19" x14ac:dyDescent="0.25">
      <c r="B38" t="s">
        <v>114</v>
      </c>
      <c r="C38" s="22" t="s">
        <v>87</v>
      </c>
      <c r="D38" s="35"/>
      <c r="E38" s="48">
        <f>SUM(H38:S38)</f>
        <v>0</v>
      </c>
      <c r="F38" s="48"/>
      <c r="G38" s="54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43"/>
    </row>
    <row r="39" spans="2:19" x14ac:dyDescent="0.25">
      <c r="C39" s="22" t="s">
        <v>88</v>
      </c>
      <c r="D39" s="35"/>
      <c r="E39" s="48">
        <f>SUM(H39:S39)</f>
        <v>0</v>
      </c>
      <c r="F39" s="48"/>
      <c r="G39" s="54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43"/>
    </row>
    <row r="40" spans="2:19" x14ac:dyDescent="0.25">
      <c r="C40" s="22" t="s">
        <v>51</v>
      </c>
      <c r="D40" s="35"/>
      <c r="E40" s="48">
        <f t="shared" ref="E40:E45" si="0">SUM(H40:S40)</f>
        <v>0</v>
      </c>
      <c r="F40" s="48"/>
      <c r="G40" s="54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43"/>
    </row>
    <row r="41" spans="2:19" x14ac:dyDescent="0.25">
      <c r="C41" s="22"/>
      <c r="D41" s="35"/>
      <c r="E41" s="48">
        <f t="shared" si="0"/>
        <v>0</v>
      </c>
      <c r="F41" s="48"/>
      <c r="G41" s="54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9"/>
    </row>
    <row r="42" spans="2:19" x14ac:dyDescent="0.25">
      <c r="C42" s="22" t="s">
        <v>89</v>
      </c>
      <c r="D42" s="35"/>
      <c r="E42" s="48">
        <f t="shared" si="0"/>
        <v>0</v>
      </c>
      <c r="F42" s="48"/>
      <c r="G42" s="54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9"/>
    </row>
    <row r="43" spans="2:19" x14ac:dyDescent="0.25">
      <c r="C43" s="22" t="s">
        <v>62</v>
      </c>
      <c r="D43" s="35"/>
      <c r="E43" s="48">
        <f t="shared" si="0"/>
        <v>0</v>
      </c>
      <c r="F43" s="48"/>
      <c r="G43" s="54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9"/>
    </row>
    <row r="44" spans="2:19" x14ac:dyDescent="0.25">
      <c r="C44" s="22" t="s">
        <v>90</v>
      </c>
      <c r="D44" s="35"/>
      <c r="E44" s="48">
        <f t="shared" si="0"/>
        <v>0</v>
      </c>
      <c r="F44" s="48"/>
      <c r="G44" s="54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9"/>
    </row>
    <row r="45" spans="2:19" x14ac:dyDescent="0.25">
      <c r="C45" s="22" t="s">
        <v>91</v>
      </c>
      <c r="D45" s="35"/>
      <c r="E45" s="48">
        <f t="shared" si="0"/>
        <v>0</v>
      </c>
      <c r="F45" s="48"/>
      <c r="G45" s="54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9"/>
    </row>
    <row r="46" spans="2:19" x14ac:dyDescent="0.25">
      <c r="C46" s="22"/>
      <c r="D46" s="23"/>
      <c r="E46" s="48"/>
      <c r="F46" s="48"/>
      <c r="G46" s="54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9"/>
    </row>
    <row r="47" spans="2:19" x14ac:dyDescent="0.25">
      <c r="C47" s="22" t="s">
        <v>92</v>
      </c>
      <c r="D47" s="35"/>
      <c r="E47" s="48">
        <f>SUM(H47:S47)*D48</f>
        <v>0</v>
      </c>
      <c r="F47" s="48"/>
      <c r="G47" s="54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9"/>
    </row>
    <row r="48" spans="2:19" x14ac:dyDescent="0.25">
      <c r="C48" s="45" t="s">
        <v>108</v>
      </c>
      <c r="D48" s="46">
        <v>0.54500000000000004</v>
      </c>
      <c r="E48" s="48"/>
      <c r="F48" s="48"/>
      <c r="G48" s="5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9"/>
    </row>
    <row r="49" spans="3:19" x14ac:dyDescent="0.25">
      <c r="C49" s="22"/>
      <c r="D49" s="23"/>
      <c r="E49" s="48"/>
      <c r="F49" s="48"/>
      <c r="G49" s="54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9"/>
    </row>
    <row r="50" spans="3:19" x14ac:dyDescent="0.25">
      <c r="C50" s="44" t="s">
        <v>93</v>
      </c>
      <c r="D50" s="35"/>
      <c r="E50" s="48"/>
      <c r="F50" s="48"/>
      <c r="G50" s="54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9"/>
    </row>
    <row r="51" spans="3:19" x14ac:dyDescent="0.25">
      <c r="C51" s="22" t="s">
        <v>94</v>
      </c>
      <c r="D51" s="35"/>
      <c r="E51" s="48">
        <v>400</v>
      </c>
      <c r="F51" s="48"/>
      <c r="G51" s="54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9"/>
    </row>
    <row r="52" spans="3:19" x14ac:dyDescent="0.25">
      <c r="C52" s="22" t="s">
        <v>95</v>
      </c>
      <c r="D52" s="35"/>
      <c r="E52" s="48">
        <v>150</v>
      </c>
      <c r="F52" s="48"/>
      <c r="G52" s="5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9"/>
    </row>
    <row r="53" spans="3:19" x14ac:dyDescent="0.25">
      <c r="C53" s="22" t="s">
        <v>96</v>
      </c>
      <c r="D53" s="35"/>
      <c r="E53" s="48">
        <v>400</v>
      </c>
      <c r="F53" s="48"/>
      <c r="G53" s="54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9"/>
    </row>
    <row r="54" spans="3:19" x14ac:dyDescent="0.25">
      <c r="C54" s="22" t="s">
        <v>97</v>
      </c>
      <c r="D54" s="35"/>
      <c r="E54" s="48">
        <v>400</v>
      </c>
      <c r="F54" s="48"/>
      <c r="G54" s="54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9"/>
    </row>
    <row r="55" spans="3:19" x14ac:dyDescent="0.25">
      <c r="C55" s="22" t="s">
        <v>98</v>
      </c>
      <c r="D55" s="35"/>
      <c r="E55" s="48">
        <v>360</v>
      </c>
      <c r="F55" s="48"/>
      <c r="G55" s="54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9"/>
    </row>
    <row r="56" spans="3:19" x14ac:dyDescent="0.25">
      <c r="C56" s="22" t="s">
        <v>99</v>
      </c>
      <c r="D56" s="35"/>
      <c r="E56" s="48">
        <v>600</v>
      </c>
      <c r="F56" s="48"/>
      <c r="G56" s="54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9"/>
    </row>
    <row r="57" spans="3:19" x14ac:dyDescent="0.25">
      <c r="C57" s="22" t="s">
        <v>100</v>
      </c>
      <c r="D57" s="35"/>
      <c r="E57" s="48">
        <v>50</v>
      </c>
      <c r="F57" s="48"/>
      <c r="G57" s="54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9"/>
    </row>
    <row r="58" spans="3:19" x14ac:dyDescent="0.25">
      <c r="C58" s="34" t="s">
        <v>101</v>
      </c>
      <c r="D58" s="35"/>
      <c r="E58" s="52">
        <v>600</v>
      </c>
      <c r="F58" s="52"/>
      <c r="G58" s="54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6"/>
    </row>
    <row r="59" spans="3:19" ht="15.75" thickBot="1" x14ac:dyDescent="0.3">
      <c r="C59" s="37"/>
      <c r="D59" s="38"/>
      <c r="E59" s="53"/>
      <c r="F59" s="53"/>
      <c r="G59" s="54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9"/>
    </row>
  </sheetData>
  <mergeCells count="1">
    <mergeCell ref="H1:S1"/>
  </mergeCells>
  <phoneticPr fontId="12" type="noConversion"/>
  <pageMargins left="0.7" right="0.7" top="0.75" bottom="0.75" header="0.3" footer="0.3"/>
  <pageSetup fitToWidth="0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1AC0-B84A-4732-A284-A9EE2CEC4CAA}">
  <dimension ref="A1:P53"/>
  <sheetViews>
    <sheetView workbookViewId="0">
      <pane xSplit="16" ySplit="2" topLeftCell="Q3" activePane="bottomRight" state="frozen"/>
      <selection pane="topRight"/>
      <selection pane="bottomLeft"/>
      <selection pane="bottomRight" activeCell="G17" sqref="G17"/>
    </sheetView>
  </sheetViews>
  <sheetFormatPr defaultRowHeight="15" x14ac:dyDescent="0.25"/>
  <cols>
    <col min="3" max="3" width="32.28515625" customWidth="1"/>
    <col min="4" max="4" width="11.85546875" style="19" bestFit="1" customWidth="1"/>
    <col min="5" max="5" width="11.42578125" bestFit="1" customWidth="1"/>
    <col min="6" max="6" width="10" customWidth="1"/>
    <col min="7" max="8" width="10.28515625" bestFit="1" customWidth="1"/>
    <col min="9" max="9" width="8.7109375" bestFit="1" customWidth="1"/>
    <col min="13" max="14" width="10.28515625" bestFit="1" customWidth="1"/>
    <col min="16" max="16" width="10.28515625" bestFit="1" customWidth="1"/>
  </cols>
  <sheetData>
    <row r="1" spans="1:16" x14ac:dyDescent="0.25">
      <c r="A1" s="8"/>
      <c r="B1" s="8"/>
      <c r="C1" s="8"/>
      <c r="D1" s="16"/>
      <c r="E1" s="57" t="s">
        <v>105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x14ac:dyDescent="0.25">
      <c r="A2" s="8"/>
      <c r="B2" s="8"/>
      <c r="C2" s="8"/>
      <c r="D2" s="16"/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  <c r="P2" s="9" t="s">
        <v>26</v>
      </c>
    </row>
    <row r="3" spans="1:16" x14ac:dyDescent="0.25">
      <c r="A3" s="8"/>
      <c r="B3" s="8"/>
      <c r="C3" s="8" t="s">
        <v>28</v>
      </c>
      <c r="D3" s="16">
        <v>26381.74</v>
      </c>
      <c r="E3" s="10"/>
      <c r="F3" s="10"/>
      <c r="G3" s="10"/>
      <c r="H3" s="10"/>
      <c r="I3" s="8"/>
      <c r="J3" s="8"/>
      <c r="K3" s="8"/>
      <c r="L3" s="8"/>
      <c r="M3" s="8"/>
      <c r="N3" s="8"/>
      <c r="O3" s="8"/>
      <c r="P3" s="8"/>
    </row>
    <row r="4" spans="1:16" x14ac:dyDescent="0.25">
      <c r="A4" s="11"/>
      <c r="B4" s="11"/>
      <c r="C4" s="11" t="s">
        <v>29</v>
      </c>
      <c r="D4" s="17">
        <f>SUM(D6:D54)</f>
        <v>70963.659999999974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5">
      <c r="A5" s="8"/>
      <c r="B5" s="8"/>
      <c r="C5" s="8"/>
      <c r="D5" s="16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 t="s">
        <v>30</v>
      </c>
      <c r="D6" s="16">
        <v>7800</v>
      </c>
      <c r="E6" s="10"/>
      <c r="F6" s="8"/>
      <c r="G6" s="8"/>
      <c r="H6" s="10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 t="s">
        <v>31</v>
      </c>
      <c r="D7" s="16">
        <f>1084.17</f>
        <v>1084.17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 t="s">
        <v>32</v>
      </c>
      <c r="D8" s="16" t="s">
        <v>33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 t="s">
        <v>34</v>
      </c>
      <c r="D9" s="16">
        <f>SUM(E9:I9)+225+930.91</f>
        <v>1155.9099999999999</v>
      </c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t="s">
        <v>35</v>
      </c>
      <c r="D10" s="16">
        <v>900</v>
      </c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t="s">
        <v>36</v>
      </c>
      <c r="D11" s="16">
        <f>SUM(E11:H11)</f>
        <v>0</v>
      </c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 t="s">
        <v>37</v>
      </c>
      <c r="D12" s="16">
        <f>476.95</f>
        <v>476.95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 t="s">
        <v>38</v>
      </c>
      <c r="D13" s="16">
        <v>422.58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1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 t="s">
        <v>39</v>
      </c>
      <c r="D15" s="16">
        <v>9325.49</v>
      </c>
      <c r="E15" s="10"/>
      <c r="F15" s="10"/>
      <c r="G15" s="10"/>
      <c r="H15" s="8"/>
      <c r="I15" s="8"/>
      <c r="J15" s="8"/>
      <c r="K15" s="10"/>
      <c r="L15" s="8"/>
      <c r="M15" s="8"/>
      <c r="N15" s="10"/>
      <c r="O15" s="8"/>
      <c r="P15" s="10"/>
    </row>
    <row r="16" spans="1:16" x14ac:dyDescent="0.25">
      <c r="A16" s="8"/>
      <c r="B16" s="8"/>
      <c r="C16" s="8" t="s">
        <v>40</v>
      </c>
      <c r="D16" s="16">
        <v>3056.02</v>
      </c>
      <c r="E16" s="10"/>
      <c r="F16" s="10"/>
      <c r="G16" s="8"/>
      <c r="H16" s="10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 t="s">
        <v>41</v>
      </c>
      <c r="D17" s="16">
        <v>625</v>
      </c>
      <c r="E17" s="10"/>
      <c r="F17" s="10"/>
      <c r="G17" s="10"/>
      <c r="H17" s="8"/>
      <c r="I17" s="8"/>
      <c r="J17" s="8"/>
      <c r="K17" s="10"/>
      <c r="L17" s="10"/>
      <c r="M17" s="8"/>
      <c r="N17" s="8"/>
      <c r="O17" s="8"/>
      <c r="P17" s="8"/>
    </row>
    <row r="18" spans="1:16" x14ac:dyDescent="0.25">
      <c r="A18" s="8"/>
      <c r="B18" s="8"/>
      <c r="C18" s="8"/>
      <c r="D18" s="1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 t="s">
        <v>42</v>
      </c>
      <c r="D19" s="16">
        <f>SUM(E19:H19)+418+239.94+102.16</f>
        <v>760.1</v>
      </c>
      <c r="E19" s="10"/>
      <c r="F19" s="10"/>
      <c r="G19" s="10"/>
      <c r="H19" s="10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 t="s">
        <v>43</v>
      </c>
      <c r="D20" s="16">
        <v>115.38</v>
      </c>
      <c r="E20" s="10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 t="s">
        <v>44</v>
      </c>
      <c r="D21" s="16">
        <f>21.9</f>
        <v>21.9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13" t="s">
        <v>45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14" t="s">
        <v>27</v>
      </c>
      <c r="D23" s="16">
        <f>912.6+M23</f>
        <v>912.6</v>
      </c>
      <c r="E23" s="8"/>
      <c r="F23" s="8"/>
      <c r="G23" s="8"/>
      <c r="H23" s="8"/>
      <c r="I23" s="8"/>
      <c r="J23" s="8"/>
      <c r="K23" s="8"/>
      <c r="L23" s="8"/>
      <c r="M23" s="10"/>
      <c r="N23" s="8"/>
      <c r="O23" s="8"/>
      <c r="P23" s="8"/>
    </row>
    <row r="24" spans="1:16" x14ac:dyDescent="0.25">
      <c r="A24" s="8"/>
      <c r="B24" s="8"/>
      <c r="C24" s="14" t="s">
        <v>46</v>
      </c>
      <c r="D24" s="18">
        <v>56.59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14" t="s">
        <v>47</v>
      </c>
      <c r="D25" s="18">
        <v>13.23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 t="s">
        <v>48</v>
      </c>
      <c r="D26" s="18">
        <v>1.98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 t="s">
        <v>49</v>
      </c>
      <c r="D27" s="16">
        <v>7131</v>
      </c>
      <c r="E27" s="8"/>
      <c r="F27" s="10"/>
      <c r="G27" s="10"/>
      <c r="H27" s="10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 t="s">
        <v>50</v>
      </c>
      <c r="D28" s="16">
        <v>464.27</v>
      </c>
      <c r="E28" s="8"/>
      <c r="F28" s="10"/>
      <c r="G28" s="10"/>
      <c r="H28" s="10"/>
      <c r="I28" s="10"/>
      <c r="J28" s="10"/>
      <c r="K28" s="10"/>
      <c r="L28" s="10"/>
      <c r="M28" s="10"/>
      <c r="N28" s="8"/>
      <c r="O28" s="8"/>
      <c r="P28" s="8"/>
    </row>
    <row r="29" spans="1:16" x14ac:dyDescent="0.25">
      <c r="A29" s="8"/>
      <c r="B29" s="8"/>
      <c r="C29" s="8" t="s">
        <v>51</v>
      </c>
      <c r="D29" s="16">
        <v>1408.5</v>
      </c>
      <c r="E29" s="10"/>
      <c r="F29" s="10"/>
      <c r="G29" s="10"/>
      <c r="H29" s="10"/>
      <c r="I29" s="10"/>
      <c r="J29" s="10"/>
      <c r="K29" s="10"/>
      <c r="L29" s="10"/>
      <c r="M29" s="10"/>
      <c r="N29" s="8"/>
      <c r="O29" s="10"/>
      <c r="P29" s="10"/>
    </row>
    <row r="30" spans="1:16" x14ac:dyDescent="0.25">
      <c r="A30" s="8"/>
      <c r="B30" s="8"/>
      <c r="C30" s="8" t="s">
        <v>52</v>
      </c>
      <c r="D30" s="16">
        <f>74.48+488.4+97.88+366.67+332.46+573.33+40+659.98+500</f>
        <v>3133.2000000000003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 t="s">
        <v>53</v>
      </c>
      <c r="D31" s="16">
        <f>SUM(E31:H31)</f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8"/>
      <c r="B32" s="8"/>
      <c r="C32" s="8" t="s">
        <v>54</v>
      </c>
      <c r="D32" s="16">
        <f>645</f>
        <v>645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8"/>
      <c r="B33" s="8"/>
      <c r="C33" s="8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8"/>
      <c r="B34" s="8"/>
      <c r="C34" s="8" t="s">
        <v>55</v>
      </c>
      <c r="D34" s="16">
        <v>360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8"/>
      <c r="B35" s="8"/>
      <c r="C35" s="8" t="s">
        <v>56</v>
      </c>
      <c r="D35" s="16">
        <v>884.19</v>
      </c>
      <c r="E35" s="10"/>
      <c r="F35" s="10"/>
      <c r="G35" s="10"/>
      <c r="H35" s="10"/>
      <c r="I35" s="10"/>
      <c r="J35" s="8"/>
      <c r="K35" s="8"/>
      <c r="L35" s="8"/>
      <c r="M35" s="8"/>
      <c r="N35" s="8"/>
      <c r="O35" s="8"/>
      <c r="P35" s="8"/>
    </row>
    <row r="36" spans="1:16" x14ac:dyDescent="0.25">
      <c r="A36" s="8"/>
      <c r="B36" s="8"/>
      <c r="C36" s="8" t="s">
        <v>57</v>
      </c>
      <c r="D36" s="16">
        <v>420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8"/>
      <c r="B37" s="8">
        <v>0.5</v>
      </c>
      <c r="C37" s="8" t="s">
        <v>58</v>
      </c>
      <c r="D37" s="16">
        <v>64.069999999999993</v>
      </c>
      <c r="E37" s="1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8"/>
      <c r="B38" s="8"/>
      <c r="C38" s="8" t="s">
        <v>59</v>
      </c>
      <c r="D38" s="16" t="s">
        <v>33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8"/>
      <c r="B39" s="8"/>
      <c r="C39" s="8"/>
      <c r="D39" s="16" t="s">
        <v>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8"/>
      <c r="B40" s="8"/>
      <c r="C40" s="8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8"/>
      <c r="B41" s="8"/>
      <c r="C41" s="8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8"/>
      <c r="B42" s="8"/>
      <c r="C42" s="8" t="s">
        <v>60</v>
      </c>
      <c r="D42" s="16">
        <v>750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8"/>
      <c r="B43" s="8"/>
      <c r="C43" s="8" t="s">
        <v>61</v>
      </c>
      <c r="D43" s="16">
        <f>1000+775</f>
        <v>1775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8"/>
      <c r="B44" s="8"/>
      <c r="C44" s="8" t="s">
        <v>62</v>
      </c>
      <c r="D44" s="16">
        <f>154.34+1600+1592</f>
        <v>3346.34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8"/>
      <c r="B45" s="8"/>
      <c r="C45" s="8" t="s">
        <v>63</v>
      </c>
      <c r="D45" s="16">
        <v>306.45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8"/>
      <c r="B46" s="8"/>
      <c r="C46" s="8" t="s">
        <v>64</v>
      </c>
      <c r="D46" s="16">
        <v>213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8"/>
      <c r="B47" s="8"/>
      <c r="C47" s="8" t="s">
        <v>65</v>
      </c>
      <c r="D47" s="16">
        <v>2000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8"/>
      <c r="B48" s="8"/>
      <c r="C48" s="8" t="s">
        <v>66</v>
      </c>
      <c r="D48" s="16">
        <v>1000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8"/>
      <c r="B49" s="8"/>
      <c r="C49" s="8" t="s">
        <v>67</v>
      </c>
      <c r="D49" s="16">
        <v>210.99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8"/>
      <c r="B50" s="8"/>
      <c r="C50" s="8" t="s">
        <v>68</v>
      </c>
      <c r="D50" s="16">
        <v>23.75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2" spans="1:16" x14ac:dyDescent="0.25">
      <c r="C52" t="s">
        <v>69</v>
      </c>
      <c r="D52" s="19">
        <v>2600</v>
      </c>
    </row>
    <row r="53" spans="1:16" x14ac:dyDescent="0.25">
      <c r="C53" t="s">
        <v>70</v>
      </c>
      <c r="D53" s="19">
        <v>17500</v>
      </c>
    </row>
  </sheetData>
  <mergeCells count="1">
    <mergeCell ref="E1:P1"/>
  </mergeCells>
  <pageMargins left="0.7" right="0.7" top="0.75" bottom="0.75" header="0.3" footer="0.3"/>
  <pageSetup fitToWidth="0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6YDMQ6CUTPJ4-1427209179-490</_dlc_DocId>
    <_dlc_DocIdUrl xmlns="7dc771f6-da2e-4bd1-a70e-d17768d8552b">
      <Url>https://cloudbaud.sharepoint.com/sites/Accounting/Taxes/_layouts/15/DocIdRedir.aspx?ID=6YDMQ6CUTPJ4-1427209179-490</Url>
      <Description>6YDMQ6CUTPJ4-1427209179-490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CD8EE02-6C6D-456E-9E07-7D12D7B2C7CD}"/>
</file>

<file path=customXml/itemProps2.xml><?xml version="1.0" encoding="utf-8"?>
<ds:datastoreItem xmlns:ds="http://schemas.openxmlformats.org/officeDocument/2006/customXml" ds:itemID="{AB26CE5E-D7FC-406B-8D5C-3D9371BCC7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94AD3C-1E61-42C6-B07A-9D8F95EDF505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df89fea9-1773-4881-9f23-9bbf5a71ac4e"/>
    <ds:schemaRef ds:uri="http://www.w3.org/XML/1998/namespace"/>
    <ds:schemaRef ds:uri="http://schemas.microsoft.com/office/infopath/2007/PartnerControls"/>
    <ds:schemaRef ds:uri="999e65c0-e66d-4ac9-8388-c4abc62046b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FA018B0-4313-46BE-82CE-3974005EAB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</vt:lpstr>
      <vt:lpstr>CloudBaud</vt:lpstr>
      <vt:lpstr>Robertos</vt:lpstr>
    </vt:vector>
  </TitlesOfParts>
  <Manager>David Ramsey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 Consolidated Tax Items Jishnu &amp; Deepika Nath</dc:title>
  <dc:subject>2018 Tax Filing</dc:subject>
  <dc:creator>Jish Nath</dc:creator>
  <cp:keywords>2015;2016;2017;2018;2019;2020</cp:keywords>
  <dc:description/>
  <cp:lastModifiedBy>Jishnu Nath</cp:lastModifiedBy>
  <cp:revision/>
  <dcterms:created xsi:type="dcterms:W3CDTF">2021-09-14T20:57:35Z</dcterms:created>
  <dcterms:modified xsi:type="dcterms:W3CDTF">2022-04-16T20:30:41Z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Order">
    <vt:r8>25500</vt:r8>
  </property>
  <property fmtid="{D5CDD505-2E9C-101B-9397-08002B2CF9AE}" pid="4" name="xd_Signature">
    <vt:bool>false</vt:bool>
  </property>
  <property fmtid="{D5CDD505-2E9C-101B-9397-08002B2CF9AE}" pid="5" name="SharedWithUsers">
    <vt:lpwstr>11;#BACKOFFICE Members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dlc_DocIdItemGuid">
    <vt:lpwstr>5ddb858f-de42-4f2f-b8ec-04da4ea21226</vt:lpwstr>
  </property>
</Properties>
</file>