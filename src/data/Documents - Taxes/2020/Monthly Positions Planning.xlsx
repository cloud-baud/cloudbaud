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xl/tables/table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ables/table6.xml" ContentType="application/vnd.openxmlformats-officedocument.spreadsheetml.table+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nathd\OneDrive\Personal\Taxes\2020\"/>
    </mc:Choice>
  </mc:AlternateContent>
  <xr:revisionPtr revIDLastSave="13" documentId="8_{EA9E74B2-F817-49CF-BE63-8851624D7C8A}" xr6:coauthVersionLast="44" xr6:coauthVersionMax="45" xr10:uidLastSave="{0CD8EC33-530A-4F0F-96F2-6CB90001F673}"/>
  <bookViews>
    <workbookView xWindow="3312" yWindow="2928" windowWidth="17280" windowHeight="8964" activeTab="4" xr2:uid="{00000000-000D-0000-FFFF-FFFF00000000}"/>
  </bookViews>
  <sheets>
    <sheet name="March" sheetId="1" r:id="rId1"/>
    <sheet name="Apr" sheetId="3" r:id="rId2"/>
    <sheet name="May" sheetId="4" r:id="rId3"/>
    <sheet name="June" sheetId="5" r:id="rId4"/>
    <sheet name="July" sheetId="6" r:id="rId5"/>
    <sheet name="Aug" sheetId="7" r:id="rId6"/>
    <sheet name="Sep" sheetId="8" r:id="rId7"/>
    <sheet name="Oct" sheetId="9" r:id="rId8"/>
    <sheet name="Nov" sheetId="10" r:id="rId9"/>
    <sheet name="Dec" sheetId="11" r:id="rId10"/>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13" i="1" l="1"/>
  <c r="P17" i="1"/>
  <c r="L17" i="1"/>
  <c r="Q17" i="1" l="1"/>
  <c r="Q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https://oltx fidelity com/ftgw/fbc/oftop/portfolio#positions/X94589414" description="Connection to the 'https://oltx fidelity com/ftgw/fbc/oftop/portfolio#positions/X94589414' query in the workbook." type="5" refreshedVersion="6" background="1">
    <dbPr connection="Provider=Microsoft.Mashup.OleDb.1;Data Source=$Workbook$;Location=&quot;https://oltx fidelity com/ftgw/fbc/oftop/portfolio#positions/X94589414&quot;;Extended Properties=&quot;&quot;" command="SELECT * FROM [https://oltx fidelity com/ftgw/fbc/oftop/portfolio#positions/X94589414]"/>
  </connection>
</connections>
</file>

<file path=xl/sharedStrings.xml><?xml version="1.0" encoding="utf-8"?>
<sst xmlns="http://schemas.openxmlformats.org/spreadsheetml/2006/main" count="1091" uniqueCount="78">
  <si>
    <t>Account Name/Number</t>
  </si>
  <si>
    <t>Symbol</t>
  </si>
  <si>
    <t>Description</t>
  </si>
  <si>
    <t>Quantity</t>
  </si>
  <si>
    <t>Last Price</t>
  </si>
  <si>
    <t>Last Price Change</t>
  </si>
  <si>
    <t>Current Value</t>
  </si>
  <si>
    <t>Today's Gain/Loss Dollar</t>
  </si>
  <si>
    <t>Today's Gain/Loss Percent</t>
  </si>
  <si>
    <t>Total Gain/Loss Dollar</t>
  </si>
  <si>
    <t>Total Gain/Loss Percent</t>
  </si>
  <si>
    <t>Cost Basis Per Share</t>
  </si>
  <si>
    <t>Cost Basis Total</t>
  </si>
  <si>
    <t>Type</t>
  </si>
  <si>
    <t>X94589414</t>
  </si>
  <si>
    <t>CORE**</t>
  </si>
  <si>
    <t>UNFUNDED CORE POSITION</t>
  </si>
  <si>
    <t>n/a</t>
  </si>
  <si>
    <t>--</t>
  </si>
  <si>
    <t>03760U107</t>
  </si>
  <si>
    <t>APEX RESOURCES GROUP INC</t>
  </si>
  <si>
    <t>Margin</t>
  </si>
  <si>
    <t>SYNERGY PHARMACEUTICALS INC DEL COM USD0.0001 NO STOCKHOLDER</t>
  </si>
  <si>
    <t xml:space="preserve"> -CYBR200417C130</t>
  </si>
  <si>
    <t>CALL (CYBR) CYBER-ARK SOFTWARE APR 17 20 $130 (100 SHS)</t>
  </si>
  <si>
    <t xml:space="preserve"> -EAF200417C10</t>
  </si>
  <si>
    <t>CALL (EAF) GRAFTECH INTL LTD APR 17 20 $10 (100 SHS)</t>
  </si>
  <si>
    <t xml:space="preserve"> -EBAY200417C37</t>
  </si>
  <si>
    <t>CALL (EBAY) EBAY INC APR 17 20 $37 (100 SHS)</t>
  </si>
  <si>
    <t xml:space="preserve"> -JRJC1200417P3</t>
  </si>
  <si>
    <t>PUT (JRJC1) CHINA FINANCE ONLINE APR 17 20 $3 (10 SHS)</t>
  </si>
  <si>
    <t>NIO</t>
  </si>
  <si>
    <t>NIO INC SPON ADS EACH REP 1 ORD SHS CLASS A</t>
  </si>
  <si>
    <t xml:space="preserve"> -NIO200306C5</t>
  </si>
  <si>
    <t>CALL (NIO) NIO INC SPON ADS MAR 06 20 $5 (100 SHS)</t>
  </si>
  <si>
    <t xml:space="preserve"> -NIO200320C4.5</t>
  </si>
  <si>
    <t>CALL (NIO) NIO INC SPON ADS MAR 20 20 $4.5 (100 SHS)</t>
  </si>
  <si>
    <t xml:space="preserve"> -NIO200320C5</t>
  </si>
  <si>
    <t>CALL (NIO) NIO INC SPON ADS MAR 20 20 $5 (100 SHS)</t>
  </si>
  <si>
    <t xml:space="preserve"> -TDOC200417C120</t>
  </si>
  <si>
    <t>CALL (TDOC) TELADOC HEALTH INC APR 17 20 $120 (100 SHS)</t>
  </si>
  <si>
    <t xml:space="preserve"> -TSLA200320C815</t>
  </si>
  <si>
    <t>CALL (TSLA) TESLA INC COM MAR 20 20 $815 (100 SHS)</t>
  </si>
  <si>
    <t xml:space="preserve"> -TSLA200320C890</t>
  </si>
  <si>
    <t>CALL (TSLA) TESLA INC COM MAR 20 20 $890 (100 SHS)</t>
  </si>
  <si>
    <t xml:space="preserve"> -TSLA200320C1000</t>
  </si>
  <si>
    <t>CALL (TSLA) TESLA INC COM MAR 20 20 $1000 (100 SHS)</t>
  </si>
  <si>
    <t xml:space="preserve"> -VST200417C24</t>
  </si>
  <si>
    <t>CALL (VST) VISTRA ENERGY CORP APR 17 20 $24 (100 SHS)</t>
  </si>
  <si>
    <t xml:space="preserve"> -VST200417C25</t>
  </si>
  <si>
    <t>CALL (VST) VISTRA ENERGY CORP APR 17 20 $25 (100 SHS)</t>
  </si>
  <si>
    <t xml:space="preserve"> -WRK210115C55</t>
  </si>
  <si>
    <t>CALL (WRK) WESTROCK CO COM JAN 15 21 $55 (100 SHS)</t>
  </si>
  <si>
    <t xml:space="preserve"> -XLRN200320C110</t>
  </si>
  <si>
    <t>CALL (XLRN) ACCELERON PHARMA COM MAR 20 20 $110 (100 SHS)</t>
  </si>
  <si>
    <t xml:space="preserve"> -ZM200403C105</t>
  </si>
  <si>
    <t>CALL (ZM) ZOOM VIDEO APR 03 20 $105 (100 SHS)</t>
  </si>
  <si>
    <t xml:space="preserve"> -ZM200403C115</t>
  </si>
  <si>
    <t>CALL (ZM) ZOOM VIDEO APR 03 20 $115 (100 SHS)</t>
  </si>
  <si>
    <t>The data and information in this spreadsheet is provided to you solely for your use and is not for distribution. The spreadsheet is provided for informational purposes only, and is not intended to provide advice, nor should it be construed as an offer to sell, a solicitation of an offer to buy or a recommendation for any security by Fidelity or any third party. Data and information shown is based on information known to Fidelity as of the date it was exported and is subject to change. It should not be used in place of your account statements or trade confirmations and is not intended for tax reporting purposes. For more information on the data included in this spreadsheet, including any limitations thereof, go to Fidelity.com.</t>
  </si>
  <si>
    <t>Brokerage services are provided by Fidelity Brokerage Services LLC, 900 Salem Street, Smithfield, RI 02917. Custody and other services provided by National Financial Services LLC. Both are Fidelity Investment companies and members SIPC, NYSE.</t>
  </si>
  <si>
    <t>Date downloaded 02/22/2020 4:33 PM</t>
  </si>
  <si>
    <t>Column1</t>
  </si>
  <si>
    <t>Column2</t>
  </si>
  <si>
    <t>Column3</t>
  </si>
  <si>
    <t>Column4</t>
  </si>
  <si>
    <t>Column5</t>
  </si>
  <si>
    <t>Column6</t>
  </si>
  <si>
    <t>Column7</t>
  </si>
  <si>
    <t>Column8</t>
  </si>
  <si>
    <t>Est Sale Price</t>
  </si>
  <si>
    <t>Est Proceeds</t>
  </si>
  <si>
    <t>Est Gain</t>
  </si>
  <si>
    <t>SPCE 27/34</t>
  </si>
  <si>
    <t>DEBIT CALL SPREAD</t>
  </si>
  <si>
    <t>TGT</t>
  </si>
  <si>
    <t>AVYA</t>
  </si>
  <si>
    <t>SPCE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</si>
</sst>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8" fontId="0" fillId="0" borderId="0" xfId="0" applyNumberFormat="1"/>
    <xf numFmtId="10" fontId="0" fillId="0" borderId="0" xfId="0" applyNumberFormat="1"/>
    <xf numFmtId="44"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1:T71" totalsRowShown="0">
  <autoFilter ref="B1:T71" xr:uid="{00000000-0009-0000-0100-000002000000}"/>
  <tableColumns count="19">
    <tableColumn id="1" xr3:uid="{00000000-0010-0000-0000-000001000000}" name="Symbol"/>
    <tableColumn id="2" xr3:uid="{00000000-0010-0000-0000-000002000000}" name="Description"/>
    <tableColumn id="3" xr3:uid="{00000000-0010-0000-0000-000003000000}" name="Quantity"/>
    <tableColumn id="4" xr3:uid="{00000000-0010-0000-0000-000004000000}" name="Last Price"/>
    <tableColumn id="5" xr3:uid="{00000000-0010-0000-0000-000005000000}" name="Last Price Change"/>
    <tableColumn id="6" xr3:uid="{00000000-0010-0000-0000-000006000000}" name="Today's Gain/Loss Dollar"/>
    <tableColumn id="7" xr3:uid="{00000000-0010-0000-0000-000007000000}" name="Today's Gain/Loss Percent"/>
    <tableColumn id="8" xr3:uid="{00000000-0010-0000-0000-000008000000}" name="Cost Basis Per Share"/>
    <tableColumn id="9" xr3:uid="{00000000-0010-0000-0000-000009000000}" name="Total Gain/Loss Percent"/>
    <tableColumn id="10" xr3:uid="{00000000-0010-0000-0000-00000A000000}" name="Current Value"/>
    <tableColumn id="11" xr3:uid="{00000000-0010-0000-0000-00000B000000}" name="Cost Basis Total"/>
    <tableColumn id="12" xr3:uid="{00000000-0010-0000-0000-00000C000000}" name="Type"/>
    <tableColumn id="13" xr3:uid="{00000000-0010-0000-0000-00000D000000}" name="Total Gain/Loss Dollar"/>
    <tableColumn id="22" xr3:uid="{00000000-0010-0000-0000-000016000000}" name="Est Sale Price"/>
    <tableColumn id="14" xr3:uid="{00000000-0010-0000-0000-00000E000000}" name="Est Proceeds"/>
    <tableColumn id="15" xr3:uid="{00000000-0010-0000-0000-00000F000000}" name="Est Gain" dataCellStyle="Currency"/>
    <tableColumn id="16" xr3:uid="{00000000-0010-0000-0000-000010000000}" name="Column3"/>
    <tableColumn id="20" xr3:uid="{00000000-0010-0000-0000-000014000000}" name="Column7"/>
    <tableColumn id="21" xr3:uid="{00000000-0010-0000-0000-000015000000}" name="Column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25" displayName="Table25" ref="B1:V62" totalsRowShown="0">
  <autoFilter ref="B1:V62" xr:uid="{00000000-0009-0000-0100-000004000000}"/>
  <tableColumns count="21">
    <tableColumn id="1" xr3:uid="{00000000-0010-0000-0100-000001000000}" name="Symbol"/>
    <tableColumn id="2" xr3:uid="{00000000-0010-0000-0100-000002000000}" name="Description"/>
    <tableColumn id="3" xr3:uid="{00000000-0010-0000-0100-000003000000}" name="Quantity"/>
    <tableColumn id="4" xr3:uid="{00000000-0010-0000-0100-000004000000}" name="Last Price"/>
    <tableColumn id="5" xr3:uid="{00000000-0010-0000-0100-000005000000}" name="Last Price Change"/>
    <tableColumn id="6" xr3:uid="{00000000-0010-0000-0100-000006000000}" name="Today's Gain/Loss Dollar"/>
    <tableColumn id="7" xr3:uid="{00000000-0010-0000-0100-000007000000}" name="Today's Gain/Loss Percent"/>
    <tableColumn id="8" xr3:uid="{00000000-0010-0000-0100-000008000000}" name="Cost Basis Per Share"/>
    <tableColumn id="9" xr3:uid="{00000000-0010-0000-0100-000009000000}" name="Total Gain/Loss Percent"/>
    <tableColumn id="10" xr3:uid="{00000000-0010-0000-0100-00000A000000}" name="Current Value"/>
    <tableColumn id="11" xr3:uid="{00000000-0010-0000-0100-00000B000000}" name="Cost Basis Total"/>
    <tableColumn id="12" xr3:uid="{00000000-0010-0000-0100-00000C000000}" name="Type"/>
    <tableColumn id="13" xr3:uid="{00000000-0010-0000-0100-00000D000000}" name="Total Gain/Loss Dollar"/>
    <tableColumn id="14" xr3:uid="{00000000-0010-0000-0100-00000E000000}" name="Column1"/>
    <tableColumn id="15" xr3:uid="{00000000-0010-0000-0100-00000F000000}" name="Column2"/>
    <tableColumn id="16" xr3:uid="{00000000-0010-0000-0100-000010000000}" name="Column3"/>
    <tableColumn id="17" xr3:uid="{00000000-0010-0000-0100-000011000000}" name="Column4"/>
    <tableColumn id="18" xr3:uid="{00000000-0010-0000-0100-000012000000}" name="Column5"/>
    <tableColumn id="19" xr3:uid="{00000000-0010-0000-0100-000013000000}" name="Column6"/>
    <tableColumn id="20" xr3:uid="{00000000-0010-0000-0100-000014000000}" name="Column7"/>
    <tableColumn id="21" xr3:uid="{00000000-0010-0000-0100-000015000000}" name="Column8"/>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26" displayName="Table26" ref="B1:V62" totalsRowShown="0">
  <autoFilter ref="B1:V62" xr:uid="{00000000-0009-0000-0100-000005000000}"/>
  <tableColumns count="21">
    <tableColumn id="1" xr3:uid="{00000000-0010-0000-0200-000001000000}" name="Symbol"/>
    <tableColumn id="2" xr3:uid="{00000000-0010-0000-0200-000002000000}" name="Description"/>
    <tableColumn id="3" xr3:uid="{00000000-0010-0000-0200-000003000000}" name="Quantity"/>
    <tableColumn id="4" xr3:uid="{00000000-0010-0000-0200-000004000000}" name="Last Price"/>
    <tableColumn id="5" xr3:uid="{00000000-0010-0000-0200-000005000000}" name="Last Price Change"/>
    <tableColumn id="6" xr3:uid="{00000000-0010-0000-0200-000006000000}" name="Today's Gain/Loss Dollar"/>
    <tableColumn id="7" xr3:uid="{00000000-0010-0000-0200-000007000000}" name="Today's Gain/Loss Percent"/>
    <tableColumn id="8" xr3:uid="{00000000-0010-0000-0200-000008000000}" name="Cost Basis Per Share"/>
    <tableColumn id="9" xr3:uid="{00000000-0010-0000-0200-000009000000}" name="Total Gain/Loss Percent"/>
    <tableColumn id="10" xr3:uid="{00000000-0010-0000-0200-00000A000000}" name="Current Value"/>
    <tableColumn id="11" xr3:uid="{00000000-0010-0000-0200-00000B000000}" name="Cost Basis Total"/>
    <tableColumn id="12" xr3:uid="{00000000-0010-0000-0200-00000C000000}" name="Type"/>
    <tableColumn id="13" xr3:uid="{00000000-0010-0000-0200-00000D000000}" name="Total Gain/Loss Dollar"/>
    <tableColumn id="14" xr3:uid="{00000000-0010-0000-0200-00000E000000}" name="Column1"/>
    <tableColumn id="15" xr3:uid="{00000000-0010-0000-0200-00000F000000}" name="Column2"/>
    <tableColumn id="16" xr3:uid="{00000000-0010-0000-0200-000010000000}" name="Column3"/>
    <tableColumn id="17" xr3:uid="{00000000-0010-0000-0200-000011000000}" name="Column4"/>
    <tableColumn id="18" xr3:uid="{00000000-0010-0000-0200-000012000000}" name="Column5"/>
    <tableColumn id="19" xr3:uid="{00000000-0010-0000-0200-000013000000}" name="Column6"/>
    <tableColumn id="20" xr3:uid="{00000000-0010-0000-0200-000014000000}" name="Column7"/>
    <tableColumn id="21" xr3:uid="{00000000-0010-0000-0200-000015000000}" name="Column8"/>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7" displayName="Table27" ref="B1:V62" totalsRowShown="0">
  <autoFilter ref="B1:V62" xr:uid="{00000000-0009-0000-0100-000006000000}"/>
  <tableColumns count="21">
    <tableColumn id="1" xr3:uid="{00000000-0010-0000-0300-000001000000}" name="Symbol"/>
    <tableColumn id="2" xr3:uid="{00000000-0010-0000-0300-000002000000}" name="Description"/>
    <tableColumn id="3" xr3:uid="{00000000-0010-0000-0300-000003000000}" name="Quantity"/>
    <tableColumn id="4" xr3:uid="{00000000-0010-0000-0300-000004000000}" name="Last Price"/>
    <tableColumn id="5" xr3:uid="{00000000-0010-0000-0300-000005000000}" name="Last Price Change"/>
    <tableColumn id="6" xr3:uid="{00000000-0010-0000-0300-000006000000}" name="Today's Gain/Loss Dollar"/>
    <tableColumn id="7" xr3:uid="{00000000-0010-0000-0300-000007000000}" name="Today's Gain/Loss Percent"/>
    <tableColumn id="8" xr3:uid="{00000000-0010-0000-0300-000008000000}" name="Cost Basis Per Share"/>
    <tableColumn id="9" xr3:uid="{00000000-0010-0000-0300-000009000000}" name="Total Gain/Loss Percent"/>
    <tableColumn id="10" xr3:uid="{00000000-0010-0000-0300-00000A000000}" name="Current Value"/>
    <tableColumn id="11" xr3:uid="{00000000-0010-0000-0300-00000B000000}" name="Cost Basis Total"/>
    <tableColumn id="12" xr3:uid="{00000000-0010-0000-0300-00000C000000}" name="Type"/>
    <tableColumn id="13" xr3:uid="{00000000-0010-0000-0300-00000D000000}" name="Total Gain/Loss Dollar"/>
    <tableColumn id="14" xr3:uid="{00000000-0010-0000-0300-00000E000000}" name="Column1"/>
    <tableColumn id="15" xr3:uid="{00000000-0010-0000-0300-00000F000000}" name="Column2"/>
    <tableColumn id="16" xr3:uid="{00000000-0010-0000-0300-000010000000}" name="Column3"/>
    <tableColumn id="17" xr3:uid="{00000000-0010-0000-0300-000011000000}" name="Column4"/>
    <tableColumn id="18" xr3:uid="{00000000-0010-0000-0300-000012000000}" name="Column5"/>
    <tableColumn id="19" xr3:uid="{00000000-0010-0000-0300-000013000000}" name="Column6"/>
    <tableColumn id="20" xr3:uid="{00000000-0010-0000-0300-000014000000}" name="Column7"/>
    <tableColumn id="21" xr3:uid="{00000000-0010-0000-0300-000015000000}" name="Column8"/>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28" displayName="Table28" ref="B1:V62" totalsRowShown="0">
  <autoFilter ref="B1:V62" xr:uid="{00000000-0009-0000-0100-000007000000}"/>
  <tableColumns count="21">
    <tableColumn id="1" xr3:uid="{00000000-0010-0000-0400-000001000000}" name="Symbol"/>
    <tableColumn id="2" xr3:uid="{00000000-0010-0000-0400-000002000000}" name="Description"/>
    <tableColumn id="3" xr3:uid="{00000000-0010-0000-0400-000003000000}" name="Quantity"/>
    <tableColumn id="4" xr3:uid="{00000000-0010-0000-0400-000004000000}" name="Last Price"/>
    <tableColumn id="5" xr3:uid="{00000000-0010-0000-0400-000005000000}" name="Last Price Change"/>
    <tableColumn id="6" xr3:uid="{00000000-0010-0000-0400-000006000000}" name="Today's Gain/Loss Dollar"/>
    <tableColumn id="7" xr3:uid="{00000000-0010-0000-0400-000007000000}" name="Today's Gain/Loss Percent"/>
    <tableColumn id="8" xr3:uid="{00000000-0010-0000-0400-000008000000}" name="Cost Basis Per Share"/>
    <tableColumn id="9" xr3:uid="{00000000-0010-0000-0400-000009000000}" name="Total Gain/Loss Percent"/>
    <tableColumn id="10" xr3:uid="{00000000-0010-0000-0400-00000A000000}" name="Current Value"/>
    <tableColumn id="11" xr3:uid="{00000000-0010-0000-0400-00000B000000}" name="Cost Basis Total"/>
    <tableColumn id="12" xr3:uid="{00000000-0010-0000-0400-00000C000000}" name="Type"/>
    <tableColumn id="13" xr3:uid="{00000000-0010-0000-0400-00000D000000}" name="Total Gain/Loss Dollar"/>
    <tableColumn id="14" xr3:uid="{00000000-0010-0000-0400-00000E000000}" name="Column1"/>
    <tableColumn id="15" xr3:uid="{00000000-0010-0000-0400-00000F000000}" name="Column2"/>
    <tableColumn id="16" xr3:uid="{00000000-0010-0000-0400-000010000000}" name="Column3"/>
    <tableColumn id="17" xr3:uid="{00000000-0010-0000-0400-000011000000}" name="Column4"/>
    <tableColumn id="18" xr3:uid="{00000000-0010-0000-0400-000012000000}" name="Column5"/>
    <tableColumn id="19" xr3:uid="{00000000-0010-0000-0400-000013000000}" name="Column6"/>
    <tableColumn id="20" xr3:uid="{00000000-0010-0000-0400-000014000000}" name="Column7"/>
    <tableColumn id="21" xr3:uid="{00000000-0010-0000-0400-000015000000}" name="Column8"/>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29" displayName="Table29" ref="B1:V62" totalsRowShown="0">
  <autoFilter ref="B1:V62" xr:uid="{00000000-0009-0000-0100-000008000000}"/>
  <tableColumns count="21">
    <tableColumn id="1" xr3:uid="{00000000-0010-0000-0500-000001000000}" name="Symbol"/>
    <tableColumn id="2" xr3:uid="{00000000-0010-0000-0500-000002000000}" name="Description"/>
    <tableColumn id="3" xr3:uid="{00000000-0010-0000-0500-000003000000}" name="Quantity"/>
    <tableColumn id="4" xr3:uid="{00000000-0010-0000-0500-000004000000}" name="Last Price"/>
    <tableColumn id="5" xr3:uid="{00000000-0010-0000-0500-000005000000}" name="Last Price Change"/>
    <tableColumn id="6" xr3:uid="{00000000-0010-0000-0500-000006000000}" name="Today's Gain/Loss Dollar"/>
    <tableColumn id="7" xr3:uid="{00000000-0010-0000-0500-000007000000}" name="Today's Gain/Loss Percent"/>
    <tableColumn id="8" xr3:uid="{00000000-0010-0000-0500-000008000000}" name="Cost Basis Per Share"/>
    <tableColumn id="9" xr3:uid="{00000000-0010-0000-0500-000009000000}" name="Total Gain/Loss Percent"/>
    <tableColumn id="10" xr3:uid="{00000000-0010-0000-0500-00000A000000}" name="Current Value"/>
    <tableColumn id="11" xr3:uid="{00000000-0010-0000-0500-00000B000000}" name="Cost Basis Total"/>
    <tableColumn id="12" xr3:uid="{00000000-0010-0000-0500-00000C000000}" name="Type"/>
    <tableColumn id="13" xr3:uid="{00000000-0010-0000-0500-00000D000000}" name="Total Gain/Loss Dollar"/>
    <tableColumn id="14" xr3:uid="{00000000-0010-0000-0500-00000E000000}" name="Column1"/>
    <tableColumn id="15" xr3:uid="{00000000-0010-0000-0500-00000F000000}" name="Column2"/>
    <tableColumn id="16" xr3:uid="{00000000-0010-0000-0500-000010000000}" name="Column3"/>
    <tableColumn id="17" xr3:uid="{00000000-0010-0000-0500-000011000000}" name="Column4"/>
    <tableColumn id="18" xr3:uid="{00000000-0010-0000-0500-000012000000}" name="Column5"/>
    <tableColumn id="19" xr3:uid="{00000000-0010-0000-0500-000013000000}" name="Column6"/>
    <tableColumn id="20" xr3:uid="{00000000-0010-0000-0500-000014000000}" name="Column7"/>
    <tableColumn id="21" xr3:uid="{00000000-0010-0000-0500-000015000000}" name="Column8"/>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210" displayName="Table210" ref="B1:V62" totalsRowShown="0">
  <autoFilter ref="B1:V62" xr:uid="{00000000-0009-0000-0100-000009000000}"/>
  <tableColumns count="21">
    <tableColumn id="1" xr3:uid="{00000000-0010-0000-0600-000001000000}" name="Symbol"/>
    <tableColumn id="2" xr3:uid="{00000000-0010-0000-0600-000002000000}" name="Description"/>
    <tableColumn id="3" xr3:uid="{00000000-0010-0000-0600-000003000000}" name="Quantity"/>
    <tableColumn id="4" xr3:uid="{00000000-0010-0000-0600-000004000000}" name="Last Price"/>
    <tableColumn id="5" xr3:uid="{00000000-0010-0000-0600-000005000000}" name="Last Price Change"/>
    <tableColumn id="6" xr3:uid="{00000000-0010-0000-0600-000006000000}" name="Today's Gain/Loss Dollar"/>
    <tableColumn id="7" xr3:uid="{00000000-0010-0000-0600-000007000000}" name="Today's Gain/Loss Percent"/>
    <tableColumn id="8" xr3:uid="{00000000-0010-0000-0600-000008000000}" name="Cost Basis Per Share"/>
    <tableColumn id="9" xr3:uid="{00000000-0010-0000-0600-000009000000}" name="Total Gain/Loss Percent"/>
    <tableColumn id="10" xr3:uid="{00000000-0010-0000-0600-00000A000000}" name="Current Value"/>
    <tableColumn id="11" xr3:uid="{00000000-0010-0000-0600-00000B000000}" name="Cost Basis Total"/>
    <tableColumn id="12" xr3:uid="{00000000-0010-0000-0600-00000C000000}" name="Type"/>
    <tableColumn id="13" xr3:uid="{00000000-0010-0000-0600-00000D000000}" name="Total Gain/Loss Dollar"/>
    <tableColumn id="14" xr3:uid="{00000000-0010-0000-0600-00000E000000}" name="Column1"/>
    <tableColumn id="15" xr3:uid="{00000000-0010-0000-0600-00000F000000}" name="Column2"/>
    <tableColumn id="16" xr3:uid="{00000000-0010-0000-0600-000010000000}" name="Column3"/>
    <tableColumn id="17" xr3:uid="{00000000-0010-0000-0600-000011000000}" name="Column4"/>
    <tableColumn id="18" xr3:uid="{00000000-0010-0000-0600-000012000000}" name="Column5"/>
    <tableColumn id="19" xr3:uid="{00000000-0010-0000-0600-000013000000}" name="Column6"/>
    <tableColumn id="20" xr3:uid="{00000000-0010-0000-0600-000014000000}" name="Column7"/>
    <tableColumn id="21" xr3:uid="{00000000-0010-0000-0600-000015000000}" name="Column8"/>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211" displayName="Table211" ref="B1:V62" totalsRowShown="0">
  <autoFilter ref="B1:V62" xr:uid="{00000000-0009-0000-0100-00000A000000}"/>
  <tableColumns count="21">
    <tableColumn id="1" xr3:uid="{00000000-0010-0000-0700-000001000000}" name="Symbol"/>
    <tableColumn id="2" xr3:uid="{00000000-0010-0000-0700-000002000000}" name="Description"/>
    <tableColumn id="3" xr3:uid="{00000000-0010-0000-0700-000003000000}" name="Quantity"/>
    <tableColumn id="4" xr3:uid="{00000000-0010-0000-0700-000004000000}" name="Last Price"/>
    <tableColumn id="5" xr3:uid="{00000000-0010-0000-0700-000005000000}" name="Last Price Change"/>
    <tableColumn id="6" xr3:uid="{00000000-0010-0000-0700-000006000000}" name="Today's Gain/Loss Dollar"/>
    <tableColumn id="7" xr3:uid="{00000000-0010-0000-0700-000007000000}" name="Today's Gain/Loss Percent"/>
    <tableColumn id="8" xr3:uid="{00000000-0010-0000-0700-000008000000}" name="Cost Basis Per Share"/>
    <tableColumn id="9" xr3:uid="{00000000-0010-0000-0700-000009000000}" name="Total Gain/Loss Percent"/>
    <tableColumn id="10" xr3:uid="{00000000-0010-0000-0700-00000A000000}" name="Current Value"/>
    <tableColumn id="11" xr3:uid="{00000000-0010-0000-0700-00000B000000}" name="Cost Basis Total"/>
    <tableColumn id="12" xr3:uid="{00000000-0010-0000-0700-00000C000000}" name="Type"/>
    <tableColumn id="13" xr3:uid="{00000000-0010-0000-0700-00000D000000}" name="Total Gain/Loss Dollar"/>
    <tableColumn id="14" xr3:uid="{00000000-0010-0000-0700-00000E000000}" name="Column1"/>
    <tableColumn id="15" xr3:uid="{00000000-0010-0000-0700-00000F000000}" name="Column2"/>
    <tableColumn id="16" xr3:uid="{00000000-0010-0000-0700-000010000000}" name="Column3"/>
    <tableColumn id="17" xr3:uid="{00000000-0010-0000-0700-000011000000}" name="Column4"/>
    <tableColumn id="18" xr3:uid="{00000000-0010-0000-0700-000012000000}" name="Column5"/>
    <tableColumn id="19" xr3:uid="{00000000-0010-0000-0700-000013000000}" name="Column6"/>
    <tableColumn id="20" xr3:uid="{00000000-0010-0000-0700-000014000000}" name="Column7"/>
    <tableColumn id="21" xr3:uid="{00000000-0010-0000-0700-000015000000}" name="Column8"/>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212" displayName="Table212" ref="B1:V62" totalsRowShown="0">
  <autoFilter ref="B1:V62" xr:uid="{00000000-0009-0000-0100-00000B000000}"/>
  <tableColumns count="21">
    <tableColumn id="1" xr3:uid="{00000000-0010-0000-0800-000001000000}" name="Symbol"/>
    <tableColumn id="2" xr3:uid="{00000000-0010-0000-0800-000002000000}" name="Description"/>
    <tableColumn id="3" xr3:uid="{00000000-0010-0000-0800-000003000000}" name="Quantity"/>
    <tableColumn id="4" xr3:uid="{00000000-0010-0000-0800-000004000000}" name="Last Price"/>
    <tableColumn id="5" xr3:uid="{00000000-0010-0000-0800-000005000000}" name="Last Price Change"/>
    <tableColumn id="6" xr3:uid="{00000000-0010-0000-0800-000006000000}" name="Today's Gain/Loss Dollar"/>
    <tableColumn id="7" xr3:uid="{00000000-0010-0000-0800-000007000000}" name="Today's Gain/Loss Percent"/>
    <tableColumn id="8" xr3:uid="{00000000-0010-0000-0800-000008000000}" name="Cost Basis Per Share"/>
    <tableColumn id="9" xr3:uid="{00000000-0010-0000-0800-000009000000}" name="Total Gain/Loss Percent"/>
    <tableColumn id="10" xr3:uid="{00000000-0010-0000-0800-00000A000000}" name="Current Value"/>
    <tableColumn id="11" xr3:uid="{00000000-0010-0000-0800-00000B000000}" name="Cost Basis Total"/>
    <tableColumn id="12" xr3:uid="{00000000-0010-0000-0800-00000C000000}" name="Type"/>
    <tableColumn id="13" xr3:uid="{00000000-0010-0000-0800-00000D000000}" name="Total Gain/Loss Dollar"/>
    <tableColumn id="14" xr3:uid="{00000000-0010-0000-0800-00000E000000}" name="Column1"/>
    <tableColumn id="15" xr3:uid="{00000000-0010-0000-0800-00000F000000}" name="Column2"/>
    <tableColumn id="16" xr3:uid="{00000000-0010-0000-0800-000010000000}" name="Column3"/>
    <tableColumn id="17" xr3:uid="{00000000-0010-0000-0800-000011000000}" name="Column4"/>
    <tableColumn id="18" xr3:uid="{00000000-0010-0000-0800-000012000000}" name="Column5"/>
    <tableColumn id="19" xr3:uid="{00000000-0010-0000-0800-000013000000}" name="Column6"/>
    <tableColumn id="20" xr3:uid="{00000000-0010-0000-0800-000014000000}" name="Column7"/>
    <tableColumn id="21" xr3:uid="{00000000-0010-0000-0800-000015000000}" name="Column8"/>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213" displayName="Table213" ref="B1:V62" totalsRowShown="0">
  <autoFilter ref="B1:V62" xr:uid="{00000000-0009-0000-0100-00000C000000}"/>
  <tableColumns count="21">
    <tableColumn id="1" xr3:uid="{00000000-0010-0000-0900-000001000000}" name="Symbol"/>
    <tableColumn id="2" xr3:uid="{00000000-0010-0000-0900-000002000000}" name="Description"/>
    <tableColumn id="3" xr3:uid="{00000000-0010-0000-0900-000003000000}" name="Quantity"/>
    <tableColumn id="4" xr3:uid="{00000000-0010-0000-0900-000004000000}" name="Last Price"/>
    <tableColumn id="5" xr3:uid="{00000000-0010-0000-0900-000005000000}" name="Last Price Change"/>
    <tableColumn id="6" xr3:uid="{00000000-0010-0000-0900-000006000000}" name="Today's Gain/Loss Dollar"/>
    <tableColumn id="7" xr3:uid="{00000000-0010-0000-0900-000007000000}" name="Today's Gain/Loss Percent"/>
    <tableColumn id="8" xr3:uid="{00000000-0010-0000-0900-000008000000}" name="Cost Basis Per Share"/>
    <tableColumn id="9" xr3:uid="{00000000-0010-0000-0900-000009000000}" name="Total Gain/Loss Percent"/>
    <tableColumn id="10" xr3:uid="{00000000-0010-0000-0900-00000A000000}" name="Current Value"/>
    <tableColumn id="11" xr3:uid="{00000000-0010-0000-0900-00000B000000}" name="Cost Basis Total"/>
    <tableColumn id="12" xr3:uid="{00000000-0010-0000-0900-00000C000000}" name="Type"/>
    <tableColumn id="13" xr3:uid="{00000000-0010-0000-0900-00000D000000}" name="Total Gain/Loss Dollar"/>
    <tableColumn id="14" xr3:uid="{00000000-0010-0000-0900-00000E000000}" name="Column1"/>
    <tableColumn id="15" xr3:uid="{00000000-0010-0000-0900-00000F000000}" name="Column2"/>
    <tableColumn id="16" xr3:uid="{00000000-0010-0000-0900-000010000000}" name="Column3"/>
    <tableColumn id="17" xr3:uid="{00000000-0010-0000-0900-000011000000}" name="Column4"/>
    <tableColumn id="18" xr3:uid="{00000000-0010-0000-0900-000012000000}" name="Column5"/>
    <tableColumn id="19" xr3:uid="{00000000-0010-0000-0900-000013000000}" name="Column6"/>
    <tableColumn id="20" xr3:uid="{00000000-0010-0000-0900-000014000000}" name="Column7"/>
    <tableColumn id="21" xr3:uid="{00000000-0010-0000-0900-000015000000}" name="Column8"/>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
  <sheetViews>
    <sheetView topLeftCell="B15" workbookViewId="0">
      <selection activeCell="B29" sqref="B29"/>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16" width="14.88671875" bestFit="1" customWidth="1"/>
    <col min="17" max="17" width="15" style="3" bestFit="1" customWidth="1"/>
    <col min="18" max="20" width="11" customWidth="1"/>
  </cols>
  <sheetData>
    <row r="1" spans="1:20" x14ac:dyDescent="0.3">
      <c r="A1" t="s">
        <v>0</v>
      </c>
      <c r="B1" t="s">
        <v>1</v>
      </c>
      <c r="C1" t="s">
        <v>2</v>
      </c>
      <c r="D1" t="s">
        <v>3</v>
      </c>
      <c r="E1" t="s">
        <v>4</v>
      </c>
      <c r="F1" t="s">
        <v>5</v>
      </c>
      <c r="G1" t="s">
        <v>7</v>
      </c>
      <c r="H1" t="s">
        <v>8</v>
      </c>
      <c r="I1" t="s">
        <v>11</v>
      </c>
      <c r="J1" t="s">
        <v>10</v>
      </c>
      <c r="K1" t="s">
        <v>6</v>
      </c>
      <c r="L1" t="s">
        <v>12</v>
      </c>
      <c r="M1" t="s">
        <v>13</v>
      </c>
      <c r="N1" t="s">
        <v>9</v>
      </c>
      <c r="O1" t="s">
        <v>70</v>
      </c>
      <c r="P1" t="s">
        <v>71</v>
      </c>
      <c r="Q1" s="3" t="s">
        <v>72</v>
      </c>
      <c r="R1" t="s">
        <v>64</v>
      </c>
      <c r="S1" t="s">
        <v>68</v>
      </c>
      <c r="T1" t="s">
        <v>69</v>
      </c>
    </row>
    <row r="2" spans="1:20" hidden="1" x14ac:dyDescent="0.3">
      <c r="A2" t="s">
        <v>14</v>
      </c>
      <c r="B2" t="s">
        <v>15</v>
      </c>
      <c r="C2" t="s">
        <v>16</v>
      </c>
      <c r="D2">
        <v>0</v>
      </c>
      <c r="F2" s="1">
        <v>0</v>
      </c>
      <c r="G2" t="s">
        <v>17</v>
      </c>
      <c r="H2" t="s">
        <v>17</v>
      </c>
      <c r="I2" t="s">
        <v>17</v>
      </c>
      <c r="J2" t="s">
        <v>18</v>
      </c>
      <c r="K2" s="1">
        <v>0</v>
      </c>
      <c r="L2" t="s">
        <v>18</v>
      </c>
      <c r="N2" t="s">
        <v>18</v>
      </c>
    </row>
    <row r="3" spans="1:20" hidden="1" x14ac:dyDescent="0.3">
      <c r="A3" t="s">
        <v>14</v>
      </c>
      <c r="B3" t="s">
        <v>19</v>
      </c>
      <c r="C3" t="s">
        <v>20</v>
      </c>
      <c r="D3">
        <v>2250</v>
      </c>
      <c r="E3" t="s">
        <v>17</v>
      </c>
      <c r="F3" t="s">
        <v>17</v>
      </c>
      <c r="G3" t="s">
        <v>17</v>
      </c>
      <c r="H3" t="s">
        <v>17</v>
      </c>
      <c r="I3" s="1">
        <v>0</v>
      </c>
      <c r="J3" t="s">
        <v>17</v>
      </c>
      <c r="K3" t="s">
        <v>17</v>
      </c>
      <c r="L3" t="s">
        <v>18</v>
      </c>
      <c r="M3" t="s">
        <v>21</v>
      </c>
      <c r="N3" t="s">
        <v>17</v>
      </c>
    </row>
    <row r="4" spans="1:20" hidden="1" x14ac:dyDescent="0.3">
      <c r="A4" t="s">
        <v>14</v>
      </c>
      <c r="B4">
        <v>871639308</v>
      </c>
      <c r="C4" t="s">
        <v>22</v>
      </c>
      <c r="D4">
        <v>1000</v>
      </c>
      <c r="E4" t="s">
        <v>17</v>
      </c>
      <c r="F4" t="s">
        <v>17</v>
      </c>
      <c r="G4" t="s">
        <v>17</v>
      </c>
      <c r="H4" t="s">
        <v>17</v>
      </c>
      <c r="I4" s="1">
        <v>0.1</v>
      </c>
      <c r="J4" t="s">
        <v>17</v>
      </c>
      <c r="K4" t="s">
        <v>17</v>
      </c>
      <c r="L4" s="1">
        <v>97</v>
      </c>
      <c r="M4" t="s">
        <v>21</v>
      </c>
      <c r="N4" t="s">
        <v>17</v>
      </c>
    </row>
    <row r="5" spans="1:20" x14ac:dyDescent="0.3">
      <c r="I5" s="1"/>
      <c r="L5" s="1"/>
      <c r="Q5" s="3">
        <f>SUM(Q8:Q48)</f>
        <v>15052.53</v>
      </c>
    </row>
    <row r="6" spans="1:20" x14ac:dyDescent="0.3">
      <c r="I6" s="1"/>
      <c r="L6" s="1"/>
    </row>
    <row r="7" spans="1:20" x14ac:dyDescent="0.3">
      <c r="I7" s="1"/>
      <c r="L7" s="1"/>
    </row>
    <row r="8" spans="1:20" x14ac:dyDescent="0.3">
      <c r="B8" t="s">
        <v>31</v>
      </c>
      <c r="C8" t="s">
        <v>32</v>
      </c>
      <c r="D8">
        <v>2000</v>
      </c>
      <c r="E8" s="1">
        <v>4.08</v>
      </c>
      <c r="F8" s="1">
        <v>-0.18</v>
      </c>
      <c r="G8" s="1">
        <v>-360</v>
      </c>
      <c r="H8" s="2">
        <v>-4.2299999999999997E-2</v>
      </c>
      <c r="I8" s="1">
        <v>4.96</v>
      </c>
      <c r="J8" s="2">
        <v>-0.1769</v>
      </c>
      <c r="K8" s="1">
        <v>8160</v>
      </c>
      <c r="L8" s="1">
        <v>9913.81</v>
      </c>
      <c r="M8" t="s">
        <v>21</v>
      </c>
      <c r="N8" s="1">
        <v>-1753.81</v>
      </c>
      <c r="O8" s="1"/>
    </row>
    <row r="9" spans="1:20" x14ac:dyDescent="0.3">
      <c r="B9" t="s">
        <v>33</v>
      </c>
      <c r="C9" t="s">
        <v>34</v>
      </c>
      <c r="D9">
        <v>-20</v>
      </c>
      <c r="E9" s="1">
        <v>0.11</v>
      </c>
      <c r="F9" s="1">
        <v>-0.06</v>
      </c>
      <c r="G9" s="1">
        <v>120</v>
      </c>
      <c r="H9" s="2">
        <v>0.35289999999999999</v>
      </c>
      <c r="I9" s="1">
        <v>0.14000000000000001</v>
      </c>
      <c r="J9" s="2">
        <v>0.23130000000000001</v>
      </c>
      <c r="K9" s="1">
        <v>-220</v>
      </c>
      <c r="L9" s="1">
        <v>286.20999999999998</v>
      </c>
      <c r="M9" t="s">
        <v>21</v>
      </c>
      <c r="N9" s="1">
        <v>66.209999999999994</v>
      </c>
      <c r="O9" s="1"/>
    </row>
    <row r="10" spans="1:20" x14ac:dyDescent="0.3">
      <c r="B10" t="s">
        <v>35</v>
      </c>
      <c r="C10" t="s">
        <v>36</v>
      </c>
      <c r="D10">
        <v>10</v>
      </c>
      <c r="E10" s="1">
        <v>0.35</v>
      </c>
      <c r="F10" s="1">
        <v>-0.09</v>
      </c>
      <c r="G10" s="1">
        <v>-90</v>
      </c>
      <c r="H10" s="2">
        <v>-0.20449999999999999</v>
      </c>
      <c r="I10" s="1">
        <v>0.85</v>
      </c>
      <c r="J10" s="2">
        <v>-0.5867</v>
      </c>
      <c r="K10" s="1">
        <v>350</v>
      </c>
      <c r="L10" s="1">
        <v>846.89</v>
      </c>
      <c r="M10" t="s">
        <v>21</v>
      </c>
      <c r="N10" s="1">
        <v>-496.89</v>
      </c>
      <c r="O10" s="1"/>
    </row>
    <row r="11" spans="1:20" x14ac:dyDescent="0.3">
      <c r="B11" t="s">
        <v>37</v>
      </c>
      <c r="C11" t="s">
        <v>38</v>
      </c>
      <c r="D11">
        <v>-10</v>
      </c>
      <c r="E11" s="1">
        <v>0.25</v>
      </c>
      <c r="F11" s="1">
        <v>-0.06</v>
      </c>
      <c r="G11" s="1">
        <v>60</v>
      </c>
      <c r="H11" s="2">
        <v>0.19350000000000001</v>
      </c>
      <c r="I11" s="1">
        <v>0.28999999999999998</v>
      </c>
      <c r="J11" s="2">
        <v>0.14699999999999999</v>
      </c>
      <c r="K11" s="1">
        <v>-250</v>
      </c>
      <c r="L11" s="1">
        <v>293.10000000000002</v>
      </c>
      <c r="M11" t="s">
        <v>21</v>
      </c>
      <c r="N11" s="1">
        <v>43.1</v>
      </c>
      <c r="O11" s="1"/>
    </row>
    <row r="12" spans="1:20" x14ac:dyDescent="0.3">
      <c r="E12" s="1"/>
      <c r="F12" s="1"/>
      <c r="G12" s="1"/>
      <c r="H12" s="2"/>
      <c r="I12" s="1"/>
      <c r="J12" s="2"/>
      <c r="K12" s="1"/>
      <c r="L12" s="1"/>
      <c r="N12" s="1"/>
      <c r="O12" s="1"/>
    </row>
    <row r="13" spans="1:20" x14ac:dyDescent="0.3">
      <c r="A13" t="s">
        <v>14</v>
      </c>
      <c r="B13" t="s">
        <v>41</v>
      </c>
      <c r="C13" t="s">
        <v>42</v>
      </c>
      <c r="D13">
        <v>1</v>
      </c>
      <c r="E13" s="1">
        <v>123.3</v>
      </c>
      <c r="F13" s="1">
        <v>3.5</v>
      </c>
      <c r="G13" s="1">
        <v>350</v>
      </c>
      <c r="H13" s="2">
        <v>2.92E-2</v>
      </c>
      <c r="I13" s="1">
        <v>72.14</v>
      </c>
      <c r="J13" s="2">
        <v>0.70930000000000004</v>
      </c>
      <c r="K13" s="1">
        <v>12330</v>
      </c>
      <c r="L13" s="1">
        <v>7213.69</v>
      </c>
      <c r="M13" t="s">
        <v>21</v>
      </c>
      <c r="N13" s="1">
        <v>5116.3100000000004</v>
      </c>
      <c r="O13" s="1">
        <v>200</v>
      </c>
      <c r="P13">
        <v>20000</v>
      </c>
      <c r="Q13" s="3">
        <f>Table2[[#This Row],[Est Proceeds]]-Table2[[#This Row],[Current Value]]</f>
        <v>7670</v>
      </c>
    </row>
    <row r="14" spans="1:20" x14ac:dyDescent="0.3">
      <c r="E14" s="1"/>
      <c r="F14" s="1"/>
      <c r="G14" s="1"/>
      <c r="H14" s="2"/>
      <c r="I14" s="1"/>
      <c r="J14" s="2"/>
      <c r="K14" s="1"/>
      <c r="L14" s="1"/>
      <c r="N14" s="1"/>
      <c r="O14" s="1"/>
    </row>
    <row r="15" spans="1:20" x14ac:dyDescent="0.3">
      <c r="A15" t="s">
        <v>14</v>
      </c>
      <c r="B15" t="s">
        <v>43</v>
      </c>
      <c r="C15" t="s">
        <v>44</v>
      </c>
      <c r="D15">
        <v>1</v>
      </c>
      <c r="E15" s="1">
        <v>85.2</v>
      </c>
      <c r="F15" s="1">
        <v>4.2</v>
      </c>
      <c r="G15" s="1">
        <v>420</v>
      </c>
      <c r="H15" s="2">
        <v>5.1900000000000002E-2</v>
      </c>
      <c r="I15" s="1">
        <v>76.069999999999993</v>
      </c>
      <c r="J15" s="2">
        <v>0.1201</v>
      </c>
      <c r="K15" s="1">
        <v>8520</v>
      </c>
      <c r="L15" s="1">
        <v>7606.69</v>
      </c>
      <c r="M15" t="s">
        <v>21</v>
      </c>
      <c r="N15" s="1">
        <v>913.31</v>
      </c>
      <c r="O15" s="1"/>
      <c r="P15">
        <v>89000</v>
      </c>
    </row>
    <row r="16" spans="1:20" x14ac:dyDescent="0.3">
      <c r="A16" t="s">
        <v>14</v>
      </c>
      <c r="B16" t="s">
        <v>45</v>
      </c>
      <c r="C16" t="s">
        <v>46</v>
      </c>
      <c r="D16">
        <v>-1</v>
      </c>
      <c r="E16" s="1">
        <v>46.4</v>
      </c>
      <c r="F16" s="1">
        <v>2.4</v>
      </c>
      <c r="G16" s="1">
        <v>-240</v>
      </c>
      <c r="H16" s="2">
        <v>-5.45E-2</v>
      </c>
      <c r="I16" s="1">
        <v>39.89</v>
      </c>
      <c r="J16" s="2">
        <v>-0.16309999999999999</v>
      </c>
      <c r="K16" s="1">
        <v>-4640</v>
      </c>
      <c r="L16" s="1">
        <v>3989.22</v>
      </c>
      <c r="M16" t="s">
        <v>21</v>
      </c>
      <c r="N16" s="1">
        <v>-650.78</v>
      </c>
      <c r="O16" s="1"/>
      <c r="P16">
        <v>100000</v>
      </c>
    </row>
    <row r="17" spans="1:17" x14ac:dyDescent="0.3">
      <c r="E17" s="1"/>
      <c r="F17" s="1"/>
      <c r="G17" s="1"/>
      <c r="H17" s="2"/>
      <c r="I17" s="1"/>
      <c r="J17" s="2"/>
      <c r="K17" s="1"/>
      <c r="L17" s="1">
        <f>L15-L16</f>
        <v>3617.47</v>
      </c>
      <c r="N17" s="1"/>
      <c r="O17" s="1"/>
      <c r="P17">
        <f>P16-P15</f>
        <v>11000</v>
      </c>
      <c r="Q17" s="3">
        <f>Table2[[#This Row],[Est Proceeds]]-Table2[[#This Row],[Cost Basis Total]]</f>
        <v>7382.5300000000007</v>
      </c>
    </row>
    <row r="18" spans="1:17" x14ac:dyDescent="0.3">
      <c r="B18" t="s">
        <v>73</v>
      </c>
      <c r="C18" t="s">
        <v>74</v>
      </c>
      <c r="D18">
        <v>10</v>
      </c>
      <c r="E18" s="1"/>
      <c r="F18" s="1"/>
      <c r="G18" s="1"/>
      <c r="H18" s="2"/>
      <c r="I18" s="1">
        <v>1.97</v>
      </c>
      <c r="J18" s="2"/>
      <c r="K18" s="1"/>
      <c r="L18" s="1"/>
      <c r="N18" s="1"/>
      <c r="O18" s="1"/>
    </row>
    <row r="19" spans="1:17" x14ac:dyDescent="0.3">
      <c r="E19" s="1"/>
      <c r="F19" s="1"/>
      <c r="G19" s="1"/>
      <c r="H19" s="2"/>
      <c r="I19" s="1"/>
      <c r="J19" s="2"/>
      <c r="K19" s="1"/>
      <c r="L19" s="1"/>
      <c r="N19" s="1"/>
      <c r="O19" s="1"/>
    </row>
    <row r="20" spans="1:17" x14ac:dyDescent="0.3">
      <c r="E20" s="1"/>
      <c r="F20" s="1"/>
      <c r="G20" s="1"/>
      <c r="H20" s="2"/>
      <c r="I20" s="1"/>
      <c r="J20" s="2"/>
      <c r="K20" s="1"/>
      <c r="L20" s="1"/>
      <c r="N20" s="1"/>
      <c r="O20" s="1"/>
    </row>
    <row r="21" spans="1:17" x14ac:dyDescent="0.3">
      <c r="E21" s="1"/>
      <c r="F21" s="1"/>
      <c r="G21" s="1"/>
      <c r="H21" s="2"/>
      <c r="I21" s="1"/>
      <c r="J21" s="2"/>
      <c r="K21" s="1"/>
      <c r="L21" s="1"/>
      <c r="N21" s="1"/>
      <c r="O21" s="1"/>
    </row>
    <row r="22" spans="1:17" x14ac:dyDescent="0.3">
      <c r="A22" t="s">
        <v>14</v>
      </c>
      <c r="B22" t="s">
        <v>53</v>
      </c>
      <c r="C22" t="s">
        <v>54</v>
      </c>
      <c r="D22">
        <v>10</v>
      </c>
      <c r="E22" s="1">
        <v>1.3</v>
      </c>
      <c r="F22" s="1">
        <v>-0.3</v>
      </c>
      <c r="G22" s="1">
        <v>-300</v>
      </c>
      <c r="H22" s="2">
        <v>-0.1875</v>
      </c>
      <c r="I22" s="1">
        <v>1.61</v>
      </c>
      <c r="J22" s="2">
        <v>-0.191</v>
      </c>
      <c r="K22" s="1">
        <v>1300</v>
      </c>
      <c r="L22" s="1">
        <v>1606.89</v>
      </c>
      <c r="M22" t="s">
        <v>21</v>
      </c>
      <c r="N22" s="1">
        <v>-306.89</v>
      </c>
      <c r="O22" s="1"/>
    </row>
    <row r="23" spans="1:17" x14ac:dyDescent="0.3">
      <c r="E23" s="1"/>
      <c r="F23" s="1"/>
      <c r="G23" s="1"/>
      <c r="H23" s="2"/>
      <c r="I23" s="1"/>
      <c r="J23" s="2"/>
      <c r="K23" s="1"/>
      <c r="L23" s="1"/>
      <c r="N23" s="1"/>
      <c r="O23" s="1"/>
    </row>
    <row r="24" spans="1:17" x14ac:dyDescent="0.3">
      <c r="A24" t="s">
        <v>14</v>
      </c>
    </row>
    <row r="25" spans="1:17" x14ac:dyDescent="0.3">
      <c r="A25" t="s">
        <v>14</v>
      </c>
      <c r="B25" t="s">
        <v>75</v>
      </c>
    </row>
    <row r="26" spans="1:17" x14ac:dyDescent="0.3">
      <c r="E26" s="1"/>
      <c r="F26" s="1"/>
      <c r="G26" s="1"/>
      <c r="H26" s="2"/>
      <c r="I26" s="1"/>
      <c r="J26" s="2"/>
      <c r="K26" s="1"/>
      <c r="L26" s="1"/>
      <c r="N26" s="1"/>
      <c r="O26" s="1"/>
    </row>
    <row r="27" spans="1:17" x14ac:dyDescent="0.3">
      <c r="E27" s="1"/>
      <c r="F27" s="1"/>
      <c r="G27" s="1"/>
      <c r="H27" s="2"/>
      <c r="I27" s="1"/>
      <c r="J27" s="2"/>
      <c r="K27" s="1"/>
      <c r="L27" s="1"/>
      <c r="N27" s="1"/>
      <c r="O27" s="1"/>
    </row>
    <row r="28" spans="1:17" x14ac:dyDescent="0.3">
      <c r="B28" t="s">
        <v>76</v>
      </c>
    </row>
    <row r="29" spans="1:17" x14ac:dyDescent="0.3">
      <c r="E29" s="1"/>
      <c r="F29" s="1"/>
      <c r="G29" s="1"/>
      <c r="H29" s="2"/>
      <c r="I29" s="1"/>
      <c r="J29" s="2"/>
      <c r="K29" s="1"/>
      <c r="L29" s="1"/>
      <c r="N29" s="1"/>
      <c r="O29" s="1"/>
    </row>
    <row r="30" spans="1:17" x14ac:dyDescent="0.3">
      <c r="E30" s="1"/>
      <c r="F30" s="1"/>
      <c r="G30" s="1"/>
      <c r="H30" s="2"/>
      <c r="I30" s="1"/>
      <c r="J30" s="2"/>
      <c r="K30" s="1"/>
      <c r="L30" s="1"/>
      <c r="N30" s="1"/>
      <c r="O30" s="1"/>
    </row>
    <row r="31" spans="1:17" x14ac:dyDescent="0.3">
      <c r="E31" s="1"/>
      <c r="F31" s="1"/>
      <c r="G31" s="1"/>
      <c r="H31" s="2"/>
      <c r="I31" s="1"/>
      <c r="J31" s="2"/>
      <c r="K31" s="1"/>
      <c r="L31" s="1"/>
      <c r="N31" s="1"/>
      <c r="O31" s="1"/>
    </row>
    <row r="32" spans="1:17" x14ac:dyDescent="0.3">
      <c r="E32" s="1"/>
      <c r="F32" s="1"/>
      <c r="G32" s="1"/>
      <c r="H32" s="2"/>
      <c r="I32" s="1"/>
      <c r="J32" s="2"/>
      <c r="K32" s="1"/>
      <c r="L32" s="1"/>
      <c r="N32" s="1"/>
      <c r="O32" s="1"/>
    </row>
    <row r="34" spans="5:15" x14ac:dyDescent="0.3">
      <c r="E34" s="1"/>
      <c r="F34" s="1"/>
      <c r="G34" s="1"/>
      <c r="H34" s="2"/>
      <c r="I34" s="1"/>
      <c r="J34" s="2"/>
      <c r="K34" s="1"/>
      <c r="L34" s="1"/>
      <c r="N34" s="1"/>
      <c r="O34" s="1"/>
    </row>
    <row r="36" spans="5:15" x14ac:dyDescent="0.3">
      <c r="E36" s="1"/>
      <c r="F36" s="1"/>
      <c r="G36" s="1"/>
      <c r="H36" s="2"/>
      <c r="I36" s="1"/>
      <c r="J36" s="2"/>
      <c r="K36" s="1"/>
      <c r="L36" s="1"/>
      <c r="N36" s="1"/>
      <c r="O36" s="1"/>
    </row>
    <row r="37" spans="5:15" x14ac:dyDescent="0.3">
      <c r="E37" s="1"/>
      <c r="F37" s="1"/>
      <c r="G37" s="1"/>
      <c r="H37" s="2"/>
      <c r="I37" s="1"/>
      <c r="J37" s="2"/>
      <c r="K37" s="1"/>
      <c r="L37" s="1"/>
      <c r="N37" s="1"/>
      <c r="O37" s="1"/>
    </row>
    <row r="38" spans="5:15" x14ac:dyDescent="0.3">
      <c r="E38" s="1"/>
      <c r="F38" s="1"/>
      <c r="G38" s="1"/>
      <c r="H38" s="2"/>
      <c r="I38" s="1"/>
      <c r="J38" s="2"/>
      <c r="K38" s="1"/>
      <c r="L38" s="1"/>
      <c r="N38" s="1"/>
      <c r="O38" s="1"/>
    </row>
    <row r="39" spans="5:15" x14ac:dyDescent="0.3">
      <c r="E39" s="1"/>
      <c r="F39" s="1"/>
      <c r="G39" s="1"/>
      <c r="H39" s="2"/>
      <c r="I39" s="1"/>
      <c r="J39" s="2"/>
      <c r="K39" s="1"/>
      <c r="L39" s="1"/>
      <c r="N39" s="1"/>
      <c r="O3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0"/>
  <sheetViews>
    <sheetView topLeftCell="B1" workbookViewId="0">
      <selection activeCell="C37" sqref="C37"/>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0"/>
  <sheetViews>
    <sheetView topLeftCell="B1" workbookViewId="0">
      <selection activeCell="C37" sqref="C37"/>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0"/>
  <sheetViews>
    <sheetView topLeftCell="B1" workbookViewId="0">
      <selection activeCell="C37" sqref="C37"/>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0"/>
  <sheetViews>
    <sheetView tabSelected="1" topLeftCell="B1" workbookViewId="0">
      <selection activeCell="I5" sqref="I5"/>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77</v>
      </c>
      <c r="D5">
        <v>10</v>
      </c>
      <c r="E5" s="1"/>
      <c r="F5" s="1"/>
      <c r="G5" s="1"/>
      <c r="H5" s="2"/>
      <c r="I5" s="1"/>
      <c r="J5" s="2"/>
      <c r="K5" s="1"/>
      <c r="L5" s="1"/>
      <c r="N5" s="1"/>
    </row>
    <row r="6" spans="1:22" x14ac:dyDescent="0.3">
      <c r="D6">
        <v>-10</v>
      </c>
      <c r="E6" s="1"/>
      <c r="F6" s="1"/>
      <c r="G6" s="1"/>
      <c r="H6" s="2"/>
      <c r="I6" s="1"/>
      <c r="J6" s="2"/>
      <c r="K6" s="1"/>
      <c r="L6" s="1"/>
      <c r="N6" s="1"/>
    </row>
    <row r="7" spans="1:22" x14ac:dyDescent="0.3">
      <c r="E7" s="1"/>
      <c r="F7" s="1"/>
      <c r="G7" s="1"/>
      <c r="H7" s="2"/>
      <c r="I7" s="1"/>
      <c r="J7" s="2"/>
      <c r="K7" s="1"/>
      <c r="L7" s="1"/>
      <c r="N7" s="1"/>
    </row>
    <row r="8" spans="1:22" x14ac:dyDescent="0.3">
      <c r="E8" s="1"/>
      <c r="F8" s="1"/>
      <c r="G8" s="1"/>
      <c r="H8" s="2"/>
      <c r="I8" s="1"/>
      <c r="J8" s="2"/>
      <c r="K8" s="1"/>
      <c r="L8" s="1"/>
      <c r="N8" s="1"/>
    </row>
    <row r="9" spans="1:22" x14ac:dyDescent="0.3">
      <c r="E9" s="1"/>
      <c r="F9" s="1"/>
      <c r="G9" s="1"/>
      <c r="H9" s="2"/>
      <c r="I9" s="1"/>
      <c r="J9" s="2"/>
      <c r="K9" s="1"/>
      <c r="L9" s="1"/>
      <c r="N9" s="1"/>
    </row>
    <row r="10" spans="1:22" x14ac:dyDescent="0.3">
      <c r="E10" s="1"/>
      <c r="F10" s="1"/>
      <c r="G10" s="1"/>
      <c r="H10" s="2"/>
      <c r="I10" s="1"/>
      <c r="J10" s="2"/>
      <c r="K10" s="1"/>
      <c r="L10" s="1"/>
      <c r="N10" s="1"/>
    </row>
    <row r="11" spans="1:22" x14ac:dyDescent="0.3">
      <c r="E11" s="1"/>
      <c r="F11" s="1"/>
      <c r="G11" s="1"/>
      <c r="H11" s="2"/>
      <c r="I11" s="1"/>
      <c r="J11" s="2"/>
      <c r="K11" s="1"/>
      <c r="L11" s="1"/>
      <c r="N11" s="1"/>
    </row>
    <row r="12" spans="1:22" x14ac:dyDescent="0.3">
      <c r="E12" s="1"/>
      <c r="F12" s="1"/>
      <c r="G12" s="1"/>
      <c r="H12" s="2"/>
      <c r="I12" s="1"/>
      <c r="J12" s="2"/>
      <c r="K12" s="1"/>
      <c r="L12" s="1"/>
      <c r="N12" s="1"/>
    </row>
    <row r="13" spans="1:22" x14ac:dyDescent="0.3">
      <c r="E13" s="1"/>
      <c r="F13" s="1"/>
      <c r="G13" s="1"/>
      <c r="H13" s="2"/>
      <c r="I13" s="1"/>
      <c r="J13" s="2"/>
      <c r="K13" s="1"/>
      <c r="L13" s="1"/>
      <c r="N13" s="1"/>
    </row>
    <row r="14" spans="1:22" x14ac:dyDescent="0.3">
      <c r="E14" s="1"/>
      <c r="F14" s="1"/>
      <c r="G14" s="1"/>
      <c r="H14" s="2"/>
      <c r="I14" s="1"/>
      <c r="J14" s="2"/>
      <c r="K14" s="1"/>
      <c r="L14" s="1"/>
      <c r="N14" s="1"/>
    </row>
    <row r="17" spans="5:14" x14ac:dyDescent="0.3">
      <c r="E17" s="1"/>
      <c r="F17" s="1"/>
      <c r="G17" s="1"/>
      <c r="H17" s="2"/>
      <c r="I17" s="1"/>
      <c r="J17" s="2"/>
      <c r="K17" s="1"/>
      <c r="L17" s="1"/>
      <c r="N17" s="1"/>
    </row>
    <row r="18" spans="5:14" x14ac:dyDescent="0.3">
      <c r="E18" s="1"/>
      <c r="F18" s="1"/>
      <c r="G18" s="1"/>
      <c r="H18" s="2"/>
      <c r="I18" s="1"/>
      <c r="J18" s="2"/>
      <c r="K18" s="1"/>
      <c r="L18" s="1"/>
      <c r="N18" s="1"/>
    </row>
    <row r="20" spans="5:14" x14ac:dyDescent="0.3">
      <c r="E20" s="1"/>
      <c r="F20" s="1"/>
      <c r="G20" s="1"/>
      <c r="H20" s="2"/>
      <c r="I20" s="1"/>
      <c r="J20" s="2"/>
      <c r="K20" s="1"/>
      <c r="L20" s="1"/>
      <c r="N20" s="1"/>
    </row>
    <row r="21" spans="5:14" x14ac:dyDescent="0.3">
      <c r="E21" s="1"/>
      <c r="F21" s="1"/>
      <c r="G21" s="1"/>
      <c r="H21" s="2"/>
      <c r="I21" s="1"/>
      <c r="J21" s="2"/>
      <c r="K21" s="1"/>
      <c r="L21" s="1"/>
      <c r="N21" s="1"/>
    </row>
    <row r="22" spans="5:14" x14ac:dyDescent="0.3">
      <c r="E22" s="1"/>
      <c r="F22" s="1"/>
      <c r="G22" s="1"/>
      <c r="H22" s="2"/>
      <c r="I22" s="1"/>
      <c r="J22" s="2"/>
      <c r="K22" s="1"/>
      <c r="L22" s="1"/>
      <c r="N22" s="1"/>
    </row>
    <row r="23" spans="5:14" x14ac:dyDescent="0.3">
      <c r="E23" s="1"/>
      <c r="F23" s="1"/>
      <c r="G23" s="1"/>
      <c r="H23" s="2"/>
      <c r="I23" s="1"/>
      <c r="J23" s="2"/>
      <c r="K23" s="1"/>
      <c r="L23" s="1"/>
      <c r="N23" s="1"/>
    </row>
    <row r="25" spans="5:14" x14ac:dyDescent="0.3">
      <c r="E25" s="1"/>
      <c r="F25" s="1"/>
      <c r="G25" s="1"/>
      <c r="H25" s="2"/>
      <c r="I25" s="1"/>
      <c r="J25" s="2"/>
      <c r="K25" s="1"/>
      <c r="L25" s="1"/>
      <c r="N25" s="1"/>
    </row>
    <row r="27" spans="5:14" x14ac:dyDescent="0.3">
      <c r="E27" s="1"/>
      <c r="F27" s="1"/>
      <c r="G27" s="1"/>
      <c r="H27" s="2"/>
      <c r="I27" s="1"/>
      <c r="J27" s="2"/>
      <c r="K27" s="1"/>
      <c r="L27" s="1"/>
      <c r="N27" s="1"/>
    </row>
    <row r="28" spans="5:14" x14ac:dyDescent="0.3">
      <c r="E28" s="1"/>
      <c r="F28" s="1"/>
      <c r="G28" s="1"/>
      <c r="H28" s="2"/>
      <c r="I28" s="1"/>
      <c r="J28" s="2"/>
      <c r="K28" s="1"/>
      <c r="L28" s="1"/>
      <c r="N28" s="1"/>
    </row>
    <row r="29" spans="5:14" x14ac:dyDescent="0.3">
      <c r="E29" s="1"/>
      <c r="F29" s="1"/>
      <c r="G29" s="1"/>
      <c r="H29" s="2"/>
      <c r="I29" s="1"/>
      <c r="J29" s="2"/>
      <c r="K29" s="1"/>
      <c r="L29" s="1"/>
      <c r="N29" s="1"/>
    </row>
    <row r="30" spans="5:14" x14ac:dyDescent="0.3">
      <c r="E30" s="1"/>
      <c r="F30" s="1"/>
      <c r="G30" s="1"/>
      <c r="H30" s="2"/>
      <c r="I30" s="1"/>
      <c r="J30" s="2"/>
      <c r="K30" s="1"/>
      <c r="L30" s="1"/>
      <c r="N30"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0"/>
  <sheetViews>
    <sheetView topLeftCell="B1" workbookViewId="0">
      <selection activeCell="C38" sqref="C38"/>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0"/>
  <sheetViews>
    <sheetView topLeftCell="B1" workbookViewId="0">
      <selection activeCell="C37" sqref="C37"/>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0"/>
  <sheetViews>
    <sheetView topLeftCell="B1" workbookViewId="0">
      <selection sqref="A1:XFD1048576"/>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
  <sheetViews>
    <sheetView topLeftCell="B1" workbookViewId="0">
      <selection sqref="A1:XFD1048576"/>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0"/>
  <sheetViews>
    <sheetView topLeftCell="B1" workbookViewId="0">
      <selection activeCell="D37" sqref="D37"/>
    </sheetView>
  </sheetViews>
  <sheetFormatPr defaultRowHeight="14.4" x14ac:dyDescent="0.3"/>
  <cols>
    <col min="1" max="1" width="0" hidden="1" customWidth="1"/>
    <col min="2" max="2" width="17.6640625" bestFit="1" customWidth="1"/>
    <col min="3" max="3" width="66.109375" bestFit="1" customWidth="1"/>
    <col min="4" max="4" width="10.88671875" customWidth="1"/>
    <col min="5" max="5" width="11.44140625" customWidth="1"/>
    <col min="6" max="6" width="16.44140625" hidden="1" customWidth="1"/>
    <col min="7" max="7" width="13.44140625" hidden="1" customWidth="1"/>
    <col min="8" max="8" width="0" hidden="1" customWidth="1"/>
    <col min="9" max="9" width="20.6640625" customWidth="1"/>
    <col min="10" max="10" width="0" hidden="1" customWidth="1"/>
    <col min="11" max="11" width="15.44140625" customWidth="1"/>
    <col min="12" max="12" width="16.6640625" customWidth="1"/>
    <col min="13" max="13" width="0" hidden="1" customWidth="1"/>
    <col min="14" max="14" width="22.33203125" customWidth="1"/>
    <col min="15" max="22" width="11" customWidth="1"/>
  </cols>
  <sheetData>
    <row r="1" spans="1:22" x14ac:dyDescent="0.3">
      <c r="A1" t="s">
        <v>0</v>
      </c>
      <c r="B1" t="s">
        <v>1</v>
      </c>
      <c r="C1" t="s">
        <v>2</v>
      </c>
      <c r="D1" t="s">
        <v>3</v>
      </c>
      <c r="E1" t="s">
        <v>4</v>
      </c>
      <c r="F1" t="s">
        <v>5</v>
      </c>
      <c r="G1" t="s">
        <v>7</v>
      </c>
      <c r="H1" t="s">
        <v>8</v>
      </c>
      <c r="I1" t="s">
        <v>11</v>
      </c>
      <c r="J1" t="s">
        <v>10</v>
      </c>
      <c r="K1" t="s">
        <v>6</v>
      </c>
      <c r="L1" t="s">
        <v>12</v>
      </c>
      <c r="M1" t="s">
        <v>13</v>
      </c>
      <c r="N1" t="s">
        <v>9</v>
      </c>
      <c r="O1" t="s">
        <v>62</v>
      </c>
      <c r="P1" t="s">
        <v>63</v>
      </c>
      <c r="Q1" t="s">
        <v>64</v>
      </c>
      <c r="R1" t="s">
        <v>65</v>
      </c>
      <c r="S1" t="s">
        <v>66</v>
      </c>
      <c r="T1" t="s">
        <v>67</v>
      </c>
      <c r="U1" t="s">
        <v>68</v>
      </c>
      <c r="V1" t="s">
        <v>69</v>
      </c>
    </row>
    <row r="2" spans="1:22" hidden="1" x14ac:dyDescent="0.3">
      <c r="A2" t="s">
        <v>14</v>
      </c>
      <c r="B2" t="s">
        <v>15</v>
      </c>
      <c r="C2" t="s">
        <v>16</v>
      </c>
      <c r="D2">
        <v>0</v>
      </c>
      <c r="F2" s="1">
        <v>0</v>
      </c>
      <c r="G2" t="s">
        <v>17</v>
      </c>
      <c r="H2" t="s">
        <v>17</v>
      </c>
      <c r="I2" t="s">
        <v>17</v>
      </c>
      <c r="J2" t="s">
        <v>18</v>
      </c>
      <c r="K2" s="1">
        <v>0</v>
      </c>
      <c r="L2" t="s">
        <v>18</v>
      </c>
      <c r="N2" t="s">
        <v>18</v>
      </c>
    </row>
    <row r="3" spans="1:22" hidden="1" x14ac:dyDescent="0.3">
      <c r="A3" t="s">
        <v>14</v>
      </c>
      <c r="B3" t="s">
        <v>19</v>
      </c>
      <c r="C3" t="s">
        <v>20</v>
      </c>
      <c r="D3">
        <v>2250</v>
      </c>
      <c r="E3" t="s">
        <v>17</v>
      </c>
      <c r="F3" t="s">
        <v>17</v>
      </c>
      <c r="G3" t="s">
        <v>17</v>
      </c>
      <c r="H3" t="s">
        <v>17</v>
      </c>
      <c r="I3" s="1">
        <v>0</v>
      </c>
      <c r="J3" t="s">
        <v>17</v>
      </c>
      <c r="K3" t="s">
        <v>17</v>
      </c>
      <c r="L3" t="s">
        <v>18</v>
      </c>
      <c r="M3" t="s">
        <v>21</v>
      </c>
      <c r="N3" t="s">
        <v>17</v>
      </c>
    </row>
    <row r="4" spans="1:22" hidden="1" x14ac:dyDescent="0.3">
      <c r="A4" t="s">
        <v>14</v>
      </c>
      <c r="B4">
        <v>871639308</v>
      </c>
      <c r="C4" t="s">
        <v>22</v>
      </c>
      <c r="D4">
        <v>1000</v>
      </c>
      <c r="E4" t="s">
        <v>17</v>
      </c>
      <c r="F4" t="s">
        <v>17</v>
      </c>
      <c r="G4" t="s">
        <v>17</v>
      </c>
      <c r="H4" t="s">
        <v>17</v>
      </c>
      <c r="I4" s="1">
        <v>0.1</v>
      </c>
      <c r="J4" t="s">
        <v>17</v>
      </c>
      <c r="K4" t="s">
        <v>17</v>
      </c>
      <c r="L4" s="1">
        <v>97</v>
      </c>
      <c r="M4" t="s">
        <v>21</v>
      </c>
      <c r="N4" t="s">
        <v>17</v>
      </c>
    </row>
    <row r="5" spans="1:22" x14ac:dyDescent="0.3">
      <c r="B5" t="s">
        <v>31</v>
      </c>
      <c r="C5" t="s">
        <v>32</v>
      </c>
      <c r="D5">
        <v>2000</v>
      </c>
      <c r="E5" s="1">
        <v>4.08</v>
      </c>
      <c r="F5" s="1">
        <v>-0.18</v>
      </c>
      <c r="G5" s="1">
        <v>-360</v>
      </c>
      <c r="H5" s="2">
        <v>-4.2299999999999997E-2</v>
      </c>
      <c r="I5" s="1">
        <v>4.96</v>
      </c>
      <c r="J5" s="2">
        <v>-0.1769</v>
      </c>
      <c r="K5" s="1">
        <v>8160</v>
      </c>
      <c r="L5" s="1">
        <v>9913.81</v>
      </c>
      <c r="M5" t="s">
        <v>21</v>
      </c>
      <c r="N5" s="1">
        <v>-1753.81</v>
      </c>
    </row>
    <row r="6" spans="1:22" x14ac:dyDescent="0.3">
      <c r="B6" t="s">
        <v>33</v>
      </c>
      <c r="C6" t="s">
        <v>34</v>
      </c>
      <c r="D6">
        <v>-20</v>
      </c>
      <c r="E6" s="1">
        <v>0.11</v>
      </c>
      <c r="F6" s="1">
        <v>-0.06</v>
      </c>
      <c r="G6" s="1">
        <v>120</v>
      </c>
      <c r="H6" s="2">
        <v>0.35289999999999999</v>
      </c>
      <c r="I6" s="1">
        <v>0.14000000000000001</v>
      </c>
      <c r="J6" s="2">
        <v>0.23130000000000001</v>
      </c>
      <c r="K6" s="1">
        <v>-220</v>
      </c>
      <c r="L6" s="1">
        <v>286.20999999999998</v>
      </c>
      <c r="M6" t="s">
        <v>21</v>
      </c>
      <c r="N6" s="1">
        <v>66.209999999999994</v>
      </c>
    </row>
    <row r="7" spans="1:22" x14ac:dyDescent="0.3">
      <c r="B7" t="s">
        <v>35</v>
      </c>
      <c r="C7" t="s">
        <v>36</v>
      </c>
      <c r="D7">
        <v>10</v>
      </c>
      <c r="E7" s="1">
        <v>0.35</v>
      </c>
      <c r="F7" s="1">
        <v>-0.09</v>
      </c>
      <c r="G7" s="1">
        <v>-90</v>
      </c>
      <c r="H7" s="2">
        <v>-0.20449999999999999</v>
      </c>
      <c r="I7" s="1">
        <v>0.85</v>
      </c>
      <c r="J7" s="2">
        <v>-0.5867</v>
      </c>
      <c r="K7" s="1">
        <v>350</v>
      </c>
      <c r="L7" s="1">
        <v>846.89</v>
      </c>
      <c r="M7" t="s">
        <v>21</v>
      </c>
      <c r="N7" s="1">
        <v>-496.89</v>
      </c>
    </row>
    <row r="8" spans="1:22" x14ac:dyDescent="0.3">
      <c r="B8" t="s">
        <v>37</v>
      </c>
      <c r="C8" t="s">
        <v>38</v>
      </c>
      <c r="D8">
        <v>-10</v>
      </c>
      <c r="E8" s="1">
        <v>0.25</v>
      </c>
      <c r="F8" s="1">
        <v>-0.06</v>
      </c>
      <c r="G8" s="1">
        <v>60</v>
      </c>
      <c r="H8" s="2">
        <v>0.19350000000000001</v>
      </c>
      <c r="I8" s="1">
        <v>0.28999999999999998</v>
      </c>
      <c r="J8" s="2">
        <v>0.14699999999999999</v>
      </c>
      <c r="K8" s="1">
        <v>-250</v>
      </c>
      <c r="L8" s="1">
        <v>293.10000000000002</v>
      </c>
      <c r="M8" t="s">
        <v>21</v>
      </c>
      <c r="N8" s="1">
        <v>43.1</v>
      </c>
    </row>
    <row r="9" spans="1:22" x14ac:dyDescent="0.3">
      <c r="E9" s="1"/>
      <c r="F9" s="1"/>
      <c r="G9" s="1"/>
      <c r="H9" s="2"/>
      <c r="I9" s="1"/>
      <c r="J9" s="2"/>
      <c r="K9" s="1"/>
      <c r="L9" s="1"/>
      <c r="N9" s="1"/>
    </row>
    <row r="10" spans="1:22" x14ac:dyDescent="0.3">
      <c r="A10" t="s">
        <v>14</v>
      </c>
      <c r="B10" t="s">
        <v>41</v>
      </c>
      <c r="C10" t="s">
        <v>42</v>
      </c>
      <c r="D10">
        <v>1</v>
      </c>
      <c r="E10" s="1">
        <v>123.3</v>
      </c>
      <c r="F10" s="1">
        <v>3.5</v>
      </c>
      <c r="G10" s="1">
        <v>350</v>
      </c>
      <c r="H10" s="2">
        <v>2.92E-2</v>
      </c>
      <c r="I10" s="1">
        <v>72.14</v>
      </c>
      <c r="J10" s="2">
        <v>0.70930000000000004</v>
      </c>
      <c r="K10" s="1">
        <v>12330</v>
      </c>
      <c r="L10" s="1">
        <v>7213.69</v>
      </c>
      <c r="M10" t="s">
        <v>21</v>
      </c>
      <c r="N10" s="1">
        <v>5116.3100000000004</v>
      </c>
    </row>
    <row r="11" spans="1:22" x14ac:dyDescent="0.3">
      <c r="A11" t="s">
        <v>14</v>
      </c>
      <c r="B11" t="s">
        <v>43</v>
      </c>
      <c r="C11" t="s">
        <v>44</v>
      </c>
      <c r="D11">
        <v>1</v>
      </c>
      <c r="E11" s="1">
        <v>85.2</v>
      </c>
      <c r="F11" s="1">
        <v>4.2</v>
      </c>
      <c r="G11" s="1">
        <v>420</v>
      </c>
      <c r="H11" s="2">
        <v>5.1900000000000002E-2</v>
      </c>
      <c r="I11" s="1">
        <v>76.069999999999993</v>
      </c>
      <c r="J11" s="2">
        <v>0.1201</v>
      </c>
      <c r="K11" s="1">
        <v>8520</v>
      </c>
      <c r="L11" s="1">
        <v>7606.69</v>
      </c>
      <c r="M11" t="s">
        <v>21</v>
      </c>
      <c r="N11" s="1">
        <v>913.31</v>
      </c>
    </row>
    <row r="12" spans="1:22" x14ac:dyDescent="0.3">
      <c r="A12" t="s">
        <v>14</v>
      </c>
      <c r="B12" t="s">
        <v>45</v>
      </c>
      <c r="C12" t="s">
        <v>46</v>
      </c>
      <c r="D12">
        <v>-1</v>
      </c>
      <c r="E12" s="1">
        <v>46.4</v>
      </c>
      <c r="F12" s="1">
        <v>2.4</v>
      </c>
      <c r="G12" s="1">
        <v>-240</v>
      </c>
      <c r="H12" s="2">
        <v>-5.45E-2</v>
      </c>
      <c r="I12" s="1">
        <v>39.89</v>
      </c>
      <c r="J12" s="2">
        <v>-0.16309999999999999</v>
      </c>
      <c r="K12" s="1">
        <v>-4640</v>
      </c>
      <c r="L12" s="1">
        <v>3989.22</v>
      </c>
      <c r="M12" t="s">
        <v>21</v>
      </c>
      <c r="N12" s="1">
        <v>-650.78</v>
      </c>
    </row>
    <row r="13" spans="1:22" x14ac:dyDescent="0.3">
      <c r="A13" t="s">
        <v>14</v>
      </c>
      <c r="B13" t="s">
        <v>53</v>
      </c>
      <c r="C13" t="s">
        <v>54</v>
      </c>
      <c r="D13">
        <v>10</v>
      </c>
      <c r="E13" s="1">
        <v>1.3</v>
      </c>
      <c r="F13" s="1">
        <v>-0.3</v>
      </c>
      <c r="G13" s="1">
        <v>-300</v>
      </c>
      <c r="H13" s="2">
        <v>-0.1875</v>
      </c>
      <c r="I13" s="1">
        <v>1.61</v>
      </c>
      <c r="J13" s="2">
        <v>-0.191</v>
      </c>
      <c r="K13" s="1">
        <v>1300</v>
      </c>
      <c r="L13" s="1">
        <v>1606.89</v>
      </c>
      <c r="M13" t="s">
        <v>21</v>
      </c>
      <c r="N13" s="1">
        <v>-306.89</v>
      </c>
    </row>
    <row r="14" spans="1:22" x14ac:dyDescent="0.3">
      <c r="E14" s="1"/>
      <c r="F14" s="1"/>
      <c r="G14" s="1"/>
      <c r="H14" s="2"/>
      <c r="I14" s="1"/>
      <c r="J14" s="2"/>
      <c r="K14" s="1"/>
      <c r="L14" s="1"/>
      <c r="N14" s="1"/>
    </row>
    <row r="15" spans="1:22" x14ac:dyDescent="0.3">
      <c r="A15" t="s">
        <v>14</v>
      </c>
    </row>
    <row r="16" spans="1:22" x14ac:dyDescent="0.3">
      <c r="A16" t="s">
        <v>14</v>
      </c>
    </row>
    <row r="17" spans="1:14" x14ac:dyDescent="0.3">
      <c r="A17" t="s">
        <v>14</v>
      </c>
      <c r="B17" t="s">
        <v>55</v>
      </c>
      <c r="C17" t="s">
        <v>56</v>
      </c>
      <c r="D17">
        <v>10</v>
      </c>
      <c r="E17" s="1">
        <v>8.6</v>
      </c>
      <c r="F17" s="1">
        <v>-1.7</v>
      </c>
      <c r="G17" s="1">
        <v>-1700</v>
      </c>
      <c r="H17" s="2">
        <v>-0.16500000000000001</v>
      </c>
      <c r="I17" s="1">
        <v>8.5</v>
      </c>
      <c r="J17" s="2">
        <v>1.21E-2</v>
      </c>
      <c r="K17" s="1">
        <v>8600</v>
      </c>
      <c r="L17" s="1">
        <v>8496.89</v>
      </c>
      <c r="M17" t="s">
        <v>21</v>
      </c>
      <c r="N17" s="1">
        <v>103.11</v>
      </c>
    </row>
    <row r="18" spans="1:14" x14ac:dyDescent="0.3">
      <c r="A18" t="s">
        <v>14</v>
      </c>
      <c r="B18" t="s">
        <v>57</v>
      </c>
      <c r="C18" t="s">
        <v>58</v>
      </c>
      <c r="D18">
        <v>-10</v>
      </c>
      <c r="E18" s="1">
        <v>5.4</v>
      </c>
      <c r="F18" s="1">
        <v>-0.65</v>
      </c>
      <c r="G18" s="1">
        <v>650</v>
      </c>
      <c r="H18" s="2">
        <v>0.1074</v>
      </c>
      <c r="I18" s="1">
        <v>4.88</v>
      </c>
      <c r="J18" s="2">
        <v>-0.10589999999999999</v>
      </c>
      <c r="K18" s="1">
        <v>-5400</v>
      </c>
      <c r="L18" s="1">
        <v>4883</v>
      </c>
      <c r="M18" t="s">
        <v>21</v>
      </c>
      <c r="N18" s="1">
        <v>-517</v>
      </c>
    </row>
    <row r="20" spans="1:14" x14ac:dyDescent="0.3">
      <c r="A20" t="s">
        <v>59</v>
      </c>
      <c r="B20" t="s">
        <v>23</v>
      </c>
      <c r="C20" t="s">
        <v>24</v>
      </c>
      <c r="D20">
        <v>6</v>
      </c>
      <c r="E20" s="1">
        <v>3.11</v>
      </c>
      <c r="F20" s="1">
        <v>-0.69</v>
      </c>
      <c r="G20" s="1">
        <v>-414</v>
      </c>
      <c r="H20" s="2">
        <v>-0.18160000000000001</v>
      </c>
      <c r="I20" s="1">
        <v>3.67</v>
      </c>
      <c r="J20" s="2">
        <v>-0.15340000000000001</v>
      </c>
      <c r="K20" s="1">
        <v>1866</v>
      </c>
      <c r="L20" s="1">
        <v>2204.13</v>
      </c>
      <c r="M20" t="s">
        <v>21</v>
      </c>
      <c r="N20" s="1">
        <v>-338.13</v>
      </c>
    </row>
    <row r="21" spans="1:14" x14ac:dyDescent="0.3">
      <c r="B21" t="s">
        <v>25</v>
      </c>
      <c r="C21" t="s">
        <v>26</v>
      </c>
      <c r="D21">
        <v>10</v>
      </c>
      <c r="E21" s="1">
        <v>0.8</v>
      </c>
      <c r="F21" s="1">
        <v>0</v>
      </c>
      <c r="G21" s="1">
        <v>0</v>
      </c>
      <c r="H21" s="2">
        <v>0</v>
      </c>
      <c r="I21" s="1">
        <v>2.86</v>
      </c>
      <c r="J21" s="2">
        <v>-0.72</v>
      </c>
      <c r="K21" s="1">
        <v>800</v>
      </c>
      <c r="L21" s="1">
        <v>2856.89</v>
      </c>
      <c r="M21" t="s">
        <v>21</v>
      </c>
      <c r="N21" s="1">
        <v>-2056.89</v>
      </c>
    </row>
    <row r="22" spans="1:14" x14ac:dyDescent="0.3">
      <c r="A22" t="s">
        <v>60</v>
      </c>
      <c r="B22" t="s">
        <v>27</v>
      </c>
      <c r="C22" t="s">
        <v>28</v>
      </c>
      <c r="D22">
        <v>10</v>
      </c>
      <c r="E22" s="1">
        <v>2.2599999999999998</v>
      </c>
      <c r="F22" s="1">
        <v>0.59</v>
      </c>
      <c r="G22" s="1">
        <v>590</v>
      </c>
      <c r="H22" s="2">
        <v>0.3533</v>
      </c>
      <c r="I22" s="1">
        <v>2.21</v>
      </c>
      <c r="J22" s="2">
        <v>2.41E-2</v>
      </c>
      <c r="K22" s="1">
        <v>2260</v>
      </c>
      <c r="L22" s="1">
        <v>2206.88</v>
      </c>
      <c r="M22" t="s">
        <v>21</v>
      </c>
      <c r="N22" s="1">
        <v>53.12</v>
      </c>
    </row>
    <row r="23" spans="1:14" x14ac:dyDescent="0.3">
      <c r="B23" t="s">
        <v>29</v>
      </c>
      <c r="C23" t="s">
        <v>30</v>
      </c>
      <c r="D23">
        <v>-10</v>
      </c>
      <c r="E23" s="1">
        <v>2.15</v>
      </c>
      <c r="F23" s="1">
        <v>0</v>
      </c>
      <c r="G23" s="1">
        <v>0</v>
      </c>
      <c r="H23" s="2">
        <v>0</v>
      </c>
      <c r="I23" s="1">
        <v>2.14</v>
      </c>
      <c r="J23" s="2">
        <v>-3.2000000000000002E-3</v>
      </c>
      <c r="K23" s="1">
        <v>-2150</v>
      </c>
      <c r="L23" s="1">
        <v>2143.06</v>
      </c>
      <c r="M23" t="s">
        <v>21</v>
      </c>
      <c r="N23" s="1">
        <v>-6.94</v>
      </c>
    </row>
    <row r="24" spans="1:14" x14ac:dyDescent="0.3">
      <c r="A24" t="s">
        <v>61</v>
      </c>
    </row>
    <row r="25" spans="1:14" x14ac:dyDescent="0.3">
      <c r="A25" t="s">
        <v>14</v>
      </c>
      <c r="B25" t="s">
        <v>39</v>
      </c>
      <c r="C25" t="s">
        <v>40</v>
      </c>
      <c r="D25">
        <v>10</v>
      </c>
      <c r="E25" s="1">
        <v>6.69</v>
      </c>
      <c r="F25" s="1">
        <v>-0.86</v>
      </c>
      <c r="G25" s="1">
        <v>-860</v>
      </c>
      <c r="H25" s="2">
        <v>-0.1139</v>
      </c>
      <c r="I25" s="1">
        <v>7.98</v>
      </c>
      <c r="J25" s="2">
        <v>-0.1613</v>
      </c>
      <c r="K25" s="1">
        <v>6690</v>
      </c>
      <c r="L25" s="1">
        <v>7976.89</v>
      </c>
      <c r="M25" t="s">
        <v>21</v>
      </c>
      <c r="N25" s="1">
        <v>-1286.8900000000001</v>
      </c>
    </row>
    <row r="27" spans="1:14" x14ac:dyDescent="0.3">
      <c r="B27" t="s">
        <v>47</v>
      </c>
      <c r="C27" t="s">
        <v>48</v>
      </c>
      <c r="D27">
        <v>20</v>
      </c>
      <c r="E27" s="1">
        <v>0.75</v>
      </c>
      <c r="F27" s="1">
        <v>0.28999999999999998</v>
      </c>
      <c r="G27" s="1">
        <v>580</v>
      </c>
      <c r="H27" s="2">
        <v>0.63039999999999996</v>
      </c>
      <c r="I27" s="1">
        <v>0.47</v>
      </c>
      <c r="J27" s="2">
        <v>0.5927</v>
      </c>
      <c r="K27" s="1">
        <v>1500</v>
      </c>
      <c r="L27" s="1">
        <v>941.78</v>
      </c>
      <c r="M27" t="s">
        <v>21</v>
      </c>
      <c r="N27" s="1">
        <v>558.22</v>
      </c>
    </row>
    <row r="28" spans="1:14" x14ac:dyDescent="0.3">
      <c r="B28" t="s">
        <v>49</v>
      </c>
      <c r="C28" t="s">
        <v>50</v>
      </c>
      <c r="D28">
        <v>-20</v>
      </c>
      <c r="E28" s="1">
        <v>0.45</v>
      </c>
      <c r="F28" s="1">
        <v>0.15</v>
      </c>
      <c r="G28" s="1">
        <v>-300</v>
      </c>
      <c r="H28" s="2">
        <v>-0.5</v>
      </c>
      <c r="I28" s="1">
        <v>0.23</v>
      </c>
      <c r="J28" s="2">
        <v>-0.92220000000000002</v>
      </c>
      <c r="K28" s="1">
        <v>-900</v>
      </c>
      <c r="L28" s="1">
        <v>468.21</v>
      </c>
      <c r="M28" t="s">
        <v>21</v>
      </c>
      <c r="N28" s="1">
        <v>-431.79</v>
      </c>
    </row>
    <row r="29" spans="1:14" x14ac:dyDescent="0.3">
      <c r="E29" s="1"/>
      <c r="F29" s="1"/>
      <c r="G29" s="1"/>
      <c r="H29" s="2"/>
      <c r="I29" s="1"/>
      <c r="J29" s="2"/>
      <c r="K29" s="1"/>
      <c r="L29" s="1"/>
      <c r="N29" s="1"/>
    </row>
    <row r="30" spans="1:14" x14ac:dyDescent="0.3">
      <c r="B30" t="s">
        <v>51</v>
      </c>
      <c r="C30" t="s">
        <v>52</v>
      </c>
      <c r="D30">
        <v>10</v>
      </c>
      <c r="E30" s="1">
        <v>0.65</v>
      </c>
      <c r="F30" s="1">
        <v>0</v>
      </c>
      <c r="G30" s="1">
        <v>0</v>
      </c>
      <c r="H30" s="2">
        <v>0</v>
      </c>
      <c r="I30" s="1">
        <v>0.99</v>
      </c>
      <c r="J30" s="2">
        <v>-0.34079999999999999</v>
      </c>
      <c r="K30" s="1">
        <v>650</v>
      </c>
      <c r="L30" s="1">
        <v>986.03</v>
      </c>
      <c r="M30" t="s">
        <v>21</v>
      </c>
      <c r="N30" s="1">
        <v>-336.03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EF16AA485BE684791667F087565664F" ma:contentTypeVersion="13" ma:contentTypeDescription="Create a new document." ma:contentTypeScope="" ma:versionID="f0823791782b2ab4fcddf4a59265db8c">
  <xsd:schema xmlns:xsd="http://www.w3.org/2001/XMLSchema" xmlns:xs="http://www.w3.org/2001/XMLSchema" xmlns:p="http://schemas.microsoft.com/office/2006/metadata/properties" xmlns:ns2="7dc771f6-da2e-4bd1-a70e-d17768d8552b" xmlns:ns3="aba09c29-35bd-4335-b6cc-74f029ed22c9" xmlns:ns4="b0fa510d-7618-4990-8d82-45385a8571b3" targetNamespace="http://schemas.microsoft.com/office/2006/metadata/properties" ma:root="true" ma:fieldsID="b8c30c05639b6863ffb6e96a57600445" ns2:_="" ns3:_="" ns4:_="">
    <xsd:import namespace="7dc771f6-da2e-4bd1-a70e-d17768d8552b"/>
    <xsd:import namespace="aba09c29-35bd-4335-b6cc-74f029ed22c9"/>
    <xsd:import namespace="b0fa510d-7618-4990-8d82-45385a8571b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4:SharedWithUsers" minOccurs="0"/>
                <xsd:element ref="ns4:SharedWithDetails" minOccurs="0"/>
                <xsd:element ref="ns3:MonthNum"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71f6-da2e-4bd1-a70e-d17768d8552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70da1760-388e-4423-a8c0-441d6bdb01c8}" ma:internalName="TaxCatchAll" ma:showField="CatchAllData" ma:web="7dc771f6-da2e-4bd1-a70e-d17768d8552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a09c29-35bd-4335-b6cc-74f029ed22c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330b531-dd62-44ad-9bfd-ea1049f7e5a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onthNum" ma:index="21" nillable="true" ma:displayName="MonthNum" ma:format="Dropdown" ma:internalName="MonthNum" ma:percentage="FALSE">
      <xsd:simpleType>
        <xsd:restriction base="dms:Number"/>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fa510d-7618-4990-8d82-45385a8571b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7dc771f6-da2e-4bd1-a70e-d17768d8552b">6YDMQ6CUTPJ4-1427209179-503</_dlc_DocId>
    <_dlc_DocIdUrl xmlns="7dc771f6-da2e-4bd1-a70e-d17768d8552b">
      <Url>https://cloudbaud.sharepoint.com/sites/Accounting/Taxes/_layouts/15/DocIdRedir.aspx?ID=6YDMQ6CUTPJ4-1427209179-503</Url>
      <Description>6YDMQ6CUTPJ4-1427209179-503</Description>
    </_dlc_DocIdUrl>
    <TaxCatchAll xmlns="7dc771f6-da2e-4bd1-a70e-d17768d8552b" xsi:nil="true"/>
    <lcf76f155ced4ddcb4097134ff3c332f xmlns="aba09c29-35bd-4335-b6cc-74f029ed22c9">
      <Terms xmlns="http://schemas.microsoft.com/office/infopath/2007/PartnerControls"/>
    </lcf76f155ced4ddcb4097134ff3c332f>
    <MonthNum xmlns="aba09c29-35bd-4335-b6cc-74f029ed22c9" xsi:nil="true"/>
  </documentManagement>
</p:properti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4B0CEB5-6D6C-4807-9967-51596C106297}">
  <ds:schemaRefs>
    <ds:schemaRef ds:uri="http://schemas.microsoft.com/DataMashup"/>
  </ds:schemaRefs>
</ds:datastoreItem>
</file>

<file path=customXml/itemProps2.xml><?xml version="1.0" encoding="utf-8"?>
<ds:datastoreItem xmlns:ds="http://schemas.openxmlformats.org/officeDocument/2006/customXml" ds:itemID="{9083A7F1-FF39-43B0-83B8-69A1B0D10655}"/>
</file>

<file path=customXml/itemProps3.xml><?xml version="1.0" encoding="utf-8"?>
<ds:datastoreItem xmlns:ds="http://schemas.openxmlformats.org/officeDocument/2006/customXml" ds:itemID="{7793F6D3-0B37-457D-9F56-48B095B1DB18}"/>
</file>

<file path=customXml/itemProps4.xml><?xml version="1.0" encoding="utf-8"?>
<ds:datastoreItem xmlns:ds="http://schemas.openxmlformats.org/officeDocument/2006/customXml" ds:itemID="{980151A1-B7BF-45B6-816B-9DBBF3CA7081}"/>
</file>

<file path=customXml/itemProps5.xml><?xml version="1.0" encoding="utf-8"?>
<ds:datastoreItem xmlns:ds="http://schemas.openxmlformats.org/officeDocument/2006/customXml" ds:itemID="{0E76ED33-2117-4429-AE29-F51F6FB206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March</vt:lpstr>
      <vt:lpstr>Apr</vt:lpstr>
      <vt:lpstr>May</vt:lpstr>
      <vt:lpstr>June</vt:lpstr>
      <vt:lpstr>July</vt:lpstr>
      <vt:lpstr>Aug</vt:lpstr>
      <vt:lpstr>Sep</vt:lpstr>
      <vt:lpstr>Oct</vt:lpstr>
      <vt:lpstr>Nov</vt:lpstr>
      <vt:lpstr>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Nath, Deepika</cp:lastModifiedBy>
  <dcterms:created xsi:type="dcterms:W3CDTF">2020-02-22T22:04:12Z</dcterms:created>
  <dcterms:modified xsi:type="dcterms:W3CDTF">2020-02-23T01:19:19Z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0x0101006EF16AA485BE684791667F087565664F</vt:lpwstr>
  </property>
  <property fmtid="{D5CDD505-2E9C-101B-9397-08002B2CF9AE}" pid="3" name="xd_Signature">
    <vt:bool>false</vt:bool>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TemplateUrl">
    <vt:lpwstr/>
  </property>
  <property fmtid="{D5CDD505-2E9C-101B-9397-08002B2CF9AE}" pid="8" name="ComplianceAssetId">
    <vt:lpwstr/>
  </property>
  <property fmtid="{D5CDD505-2E9C-101B-9397-08002B2CF9AE}" pid="9" name="_dlc_DocIdItemGuid">
    <vt:lpwstr>44964929-c76b-473c-ad2b-b0da2f3368e4</vt:lpwstr>
  </property>
  <property fmtid="{D5CDD505-2E9C-101B-9397-08002B2CF9AE}" pid="10" name="_ExtendedDescription">
    <vt:lpwstr/>
  </property>
  <property fmtid="{D5CDD505-2E9C-101B-9397-08002B2CF9AE}" pid="11" name="TriggerFlowInfo">
    <vt:lpwstr/>
  </property>
</Properties>
</file>