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20\"/>
    </mc:Choice>
  </mc:AlternateContent>
  <xr:revisionPtr revIDLastSave="0" documentId="13_ncr:1_{44FE3D1B-DC93-44C3-A506-27A921AF6C19}" xr6:coauthVersionLast="47" xr6:coauthVersionMax="47" xr10:uidLastSave="{00000000-0000-0000-0000-000000000000}"/>
  <bookViews>
    <workbookView xWindow="4755" yWindow="2100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8" l="1"/>
  <c r="D11" i="8"/>
  <c r="C10" i="8"/>
  <c r="K44" i="7" l="1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9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sharedStrings.xml><?xml version="1.0" encoding="utf-8"?>
<sst xmlns="http://schemas.openxmlformats.org/spreadsheetml/2006/main" count="580" uniqueCount="249">
  <si>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</si>
  <si>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</si>
  <si>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</si>
  <si>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</si>
  <si>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</si>
  <si>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</si>
  <si>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</si>
  <si>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</si>
  <si>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</si>
  <si>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</si>
  <si>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</si>
  <si>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</si>
  <si>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 Credits</t>
  </si>
  <si>
    <t>Total Debits</t>
  </si>
  <si>
    <t>Net Income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</si>
  <si>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</si>
  <si>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</si>
  <si>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</si>
  <si>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</si>
  <si>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</si>
  <si>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</si>
  <si>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</si>
  <si>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</si>
  <si>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Inventory</t>
  </si>
  <si>
    <t>Promissory</t>
  </si>
  <si>
    <t>Labor</t>
  </si>
  <si>
    <t>Check#1016</t>
  </si>
  <si>
    <t>Kris Robbins</t>
  </si>
  <si>
    <t>Promissory Note</t>
  </si>
  <si>
    <t>Deposits/Additions</t>
  </si>
  <si>
    <t>Fees</t>
  </si>
  <si>
    <t>Check#1017</t>
  </si>
  <si>
    <t>King County</t>
  </si>
  <si>
    <t>Plan Review</t>
  </si>
  <si>
    <t>Promissory Note#5</t>
  </si>
  <si>
    <t>Construction</t>
  </si>
  <si>
    <t>Check#1019</t>
  </si>
  <si>
    <t>Promissory#6</t>
  </si>
  <si>
    <t>Check#1020</t>
  </si>
  <si>
    <t>Promissory#7</t>
  </si>
  <si>
    <t>Check#1021</t>
  </si>
  <si>
    <t>Jose Gomez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</si>
  <si>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</si>
  <si>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</si>
  <si>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</si>
  <si>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</si>
  <si>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</si>
  <si>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</si>
  <si>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</si>
  <si>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</si>
  <si>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</si>
  <si>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</si>
  <si>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</si>
  <si>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</si>
  <si>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</si>
  <si>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</si>
  <si>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</si>
  <si>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</si>
  <si>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</si>
  <si>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</si>
  <si>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</si>
  <si>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</si>
  <si>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</si>
  <si>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</si>
  <si>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Flooring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</si>
  <si>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</si>
  <si>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</si>
  <si>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</si>
  <si>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</si>
  <si>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</si>
  <si>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</si>
  <si>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</si>
  <si>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</si>
  <si>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</si>
  <si>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</si>
  <si>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</si>
  <si>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</si>
  <si>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</si>
  <si>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</si>
  <si>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</si>
  <si>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Manual Deposts</t>
  </si>
  <si>
    <t>Other Withdrawal</t>
  </si>
  <si>
    <t>Transfers</t>
  </si>
  <si>
    <t>Other Deposits</t>
  </si>
  <si>
    <t>Business Purchase</t>
  </si>
  <si>
    <t>Rent</t>
  </si>
  <si>
    <t>registration fee</t>
  </si>
  <si>
    <t>permit</t>
  </si>
  <si>
    <t>utilities</t>
  </si>
  <si>
    <t>garbage</t>
  </si>
  <si>
    <t>wifi</t>
  </si>
  <si>
    <t>food supplies</t>
  </si>
  <si>
    <t>furniture</t>
  </si>
  <si>
    <t>lights</t>
  </si>
  <si>
    <t>sound system</t>
  </si>
  <si>
    <t>concrete floor</t>
  </si>
  <si>
    <t>doormats</t>
  </si>
  <si>
    <t>ecolab</t>
  </si>
  <si>
    <t>labor</t>
  </si>
  <si>
    <t>excise tax</t>
  </si>
  <si>
    <t>painting</t>
  </si>
  <si>
    <t>ceiling</t>
  </si>
  <si>
    <t>Check#</t>
  </si>
  <si>
    <t>Franz</t>
  </si>
  <si>
    <t>Check#3026</t>
  </si>
  <si>
    <t>D&amp;E Mercer Investments</t>
  </si>
  <si>
    <t>Bread</t>
  </si>
  <si>
    <t>RENT</t>
  </si>
  <si>
    <t>Check#3031</t>
  </si>
  <si>
    <t>Check#3032</t>
  </si>
  <si>
    <t>Check#3034</t>
  </si>
  <si>
    <t>Advocate Telecom</t>
  </si>
  <si>
    <t>Low Voltage Wiring</t>
  </si>
  <si>
    <t>PSE</t>
  </si>
  <si>
    <t>Electric Bill</t>
  </si>
  <si>
    <t>Electricity</t>
  </si>
  <si>
    <t>Check#3035</t>
  </si>
  <si>
    <t>Check#3036</t>
  </si>
  <si>
    <t>Check#3037</t>
  </si>
  <si>
    <t>yesseny</t>
  </si>
  <si>
    <t>Rent October</t>
  </si>
  <si>
    <t>Check#3038</t>
  </si>
  <si>
    <t>Check#3040</t>
  </si>
  <si>
    <t>Check#3041</t>
  </si>
  <si>
    <t>Naresh Lakhanpal</t>
  </si>
  <si>
    <t>Grocery</t>
  </si>
  <si>
    <t>Check#3042</t>
  </si>
  <si>
    <t>Check#3043</t>
  </si>
  <si>
    <t>Franz Bakery</t>
  </si>
  <si>
    <t>New System</t>
  </si>
  <si>
    <t>Laundry</t>
  </si>
  <si>
    <t>Check#3044</t>
  </si>
  <si>
    <t>Check#3045</t>
  </si>
  <si>
    <t>Check#3046</t>
  </si>
  <si>
    <t>rehan dost</t>
  </si>
  <si>
    <t>Misc Svcs</t>
  </si>
  <si>
    <t>Cleaning</t>
  </si>
  <si>
    <t>Check#3047</t>
  </si>
  <si>
    <t>Check#3048</t>
  </si>
  <si>
    <t>ravi video</t>
  </si>
  <si>
    <t>supplies</t>
  </si>
  <si>
    <t>naresh lakhanpal</t>
  </si>
  <si>
    <t>Check#3049</t>
  </si>
  <si>
    <t>groceries</t>
  </si>
  <si>
    <t>ELECTRICITY</t>
  </si>
  <si>
    <t>WASTE</t>
  </si>
  <si>
    <t>SERVICES</t>
  </si>
  <si>
    <t>WEB HOSTING</t>
  </si>
  <si>
    <t>BROADBAND</t>
  </si>
  <si>
    <t>PHONE</t>
  </si>
  <si>
    <t>LAUNDRY</t>
  </si>
  <si>
    <t>Total Expenses</t>
  </si>
  <si>
    <t>PAYROLL</t>
  </si>
  <si>
    <t>Wages</t>
  </si>
  <si>
    <t>Fed Tax Withheld</t>
  </si>
  <si>
    <t>soc sec wages</t>
  </si>
  <si>
    <t>soc sec tips</t>
  </si>
  <si>
    <t>medicare wages &amp; tips</t>
  </si>
  <si>
    <t>medicare taxes withheld</t>
  </si>
  <si>
    <t>soc sec tax withheld</t>
  </si>
  <si>
    <t>CELLULAR</t>
  </si>
  <si>
    <t>STATIONARIES</t>
  </si>
  <si>
    <t>EQUIPMENT LEASING</t>
  </si>
  <si>
    <t>Card Transactions</t>
  </si>
  <si>
    <t>Cash&amp;Carry</t>
  </si>
  <si>
    <t>Groceries</t>
  </si>
  <si>
    <t>comcast cable</t>
  </si>
  <si>
    <t>Broadband</t>
  </si>
  <si>
    <t>Dick's Restaurant Supply</t>
  </si>
  <si>
    <t>Equipments</t>
  </si>
  <si>
    <t>Equip</t>
  </si>
  <si>
    <t>Craigslist</t>
  </si>
  <si>
    <t>Ad</t>
  </si>
  <si>
    <t>ADP</t>
  </si>
  <si>
    <t>Payroll Fees</t>
  </si>
  <si>
    <t>Equipment</t>
  </si>
  <si>
    <t>Pawnee Leasing</t>
  </si>
  <si>
    <t xml:space="preserve">ADP </t>
  </si>
  <si>
    <t>ACH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</si>
  <si>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</si>
  <si>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</si>
  <si>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</si>
  <si>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</si>
  <si>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</si>
  <si>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</si>
  <si>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</si>
  <si>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</si>
  <si>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</si>
  <si>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</si>
  <si>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</si>
  <si>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</si>
  <si>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</si>
  <si>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</si>
  <si>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</si>
  <si>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</si>
  <si>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</si>
  <si>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</si>
  <si>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UPS</t>
  </si>
  <si>
    <t>cash&amp;carry</t>
  </si>
  <si>
    <t>Albertsons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</si>
  <si>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</si>
  <si>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</si>
  <si>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</si>
  <si>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</si>
  <si>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</si>
  <si>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</si>
  <si>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</si>
  <si>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Verizon</t>
  </si>
  <si>
    <t>Mobile</t>
  </si>
  <si>
    <t>square</t>
  </si>
  <si>
    <t>processing fee</t>
  </si>
  <si>
    <t>adp</t>
  </si>
  <si>
    <t>WA DOR</t>
  </si>
  <si>
    <t>Rev Taxes</t>
  </si>
  <si>
    <t>time payment</t>
  </si>
  <si>
    <t>comcast</t>
  </si>
  <si>
    <t>cable</t>
  </si>
  <si>
    <t>albertsons</t>
  </si>
  <si>
    <t>dish</t>
  </si>
  <si>
    <t>Check#1018</t>
  </si>
  <si>
    <t>STATE OF WA</t>
  </si>
  <si>
    <t>LIQ PERMIT</t>
  </si>
  <si>
    <t>overdraft fee</t>
  </si>
  <si>
    <t>health insurance</t>
  </si>
  <si>
    <t>molina</t>
  </si>
  <si>
    <t>Payroll</t>
  </si>
  <si>
    <t>Payroll Tax</t>
  </si>
  <si>
    <t>Payroll Tax/401k</t>
  </si>
  <si>
    <t>Tax/401K</t>
  </si>
  <si>
    <t>TAX/401K</t>
  </si>
  <si>
    <t>LABOR</t>
  </si>
  <si>
    <t>Paint Job</t>
  </si>
  <si>
    <t>tax</t>
  </si>
  <si>
    <t>fees</t>
  </si>
  <si>
    <t>Health Ins</t>
  </si>
  <si>
    <t>Digital Ads</t>
  </si>
  <si>
    <t>Garnishment Fee</t>
  </si>
  <si>
    <t>Asbestos</t>
  </si>
  <si>
    <t>Flooring Cement</t>
  </si>
  <si>
    <t>Ceiling Speakers</t>
  </si>
  <si>
    <t>Paint</t>
  </si>
  <si>
    <t>Supplies</t>
  </si>
  <si>
    <t>Food Inventory</t>
  </si>
  <si>
    <t>Water</t>
  </si>
  <si>
    <t>ice machine</t>
  </si>
  <si>
    <t>bathroom</t>
  </si>
  <si>
    <t>electrical work</t>
  </si>
  <si>
    <t>electrical permit</t>
  </si>
  <si>
    <t>oven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</si>
</sst>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0" fontId="0" fillId="0" borderId="0" xfId="0" applyAlignment="1">
      <alignment horizontal="left" indent="2"/>
    </xf>
    <xf numFmtId="44" fontId="6" fillId="0" borderId="0" xfId="1" applyFont="1"/>
    <xf numFmtId="2" fontId="0" fillId="0" borderId="0" xfId="0" applyNumberFormat="1"/>
    <xf numFmtId="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C2:X50"/>
  <sheetViews>
    <sheetView tabSelected="1" workbookViewId="0">
      <selection activeCell="O21" sqref="O21"/>
    </sheetView>
  </sheetViews>
  <sheetFormatPr defaultRowHeight="15" x14ac:dyDescent="0.25"/>
  <cols>
    <col min="3" max="3" width="19.85546875" bestFit="1" customWidth="1"/>
    <col min="4" max="4" width="19.85546875" customWidth="1"/>
    <col min="5" max="10" width="12.140625" customWidth="1"/>
    <col min="11" max="11" width="11.5703125" style="4" bestFit="1" customWidth="1"/>
    <col min="12" max="17" width="10.5703125" style="13" bestFit="1" customWidth="1"/>
    <col min="18" max="23" width="10.5703125" style="13" customWidth="1"/>
    <col min="24" max="24" width="11.5703125" bestFit="1" customWidth="1"/>
  </cols>
  <sheetData>
    <row r="2" spans="3:24" ht="45" x14ac:dyDescent="0.2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153</v>
      </c>
      <c r="R2" s="15" t="s">
        <v>154</v>
      </c>
      <c r="S2" s="15" t="s">
        <v>155</v>
      </c>
      <c r="T2" s="15" t="s">
        <v>159</v>
      </c>
      <c r="U2" s="15" t="s">
        <v>157</v>
      </c>
      <c r="V2" s="15" t="s">
        <v>158</v>
      </c>
      <c r="W2" s="15" t="s">
        <v>156</v>
      </c>
      <c r="X2" s="8">
        <v>2016</v>
      </c>
    </row>
    <row r="3" spans="3:24" s="2" customFormat="1" hidden="1" x14ac:dyDescent="0.25">
      <c r="C3" s="2" t="s">
        <v>12</v>
      </c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3:24" hidden="1" x14ac:dyDescent="0.25">
      <c r="E4" s="13"/>
      <c r="F4" s="13"/>
      <c r="G4" s="13"/>
      <c r="H4" s="13"/>
      <c r="I4" s="13"/>
      <c r="J4" s="13"/>
      <c r="K4" s="13"/>
      <c r="X4" s="14"/>
    </row>
    <row r="5" spans="3:24" s="3" customFormat="1" hidden="1" x14ac:dyDescent="0.25">
      <c r="C5" s="3" t="s">
        <v>13</v>
      </c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3:24" hidden="1" x14ac:dyDescent="0.25">
      <c r="E6" s="13"/>
      <c r="F6" s="13"/>
      <c r="G6" s="13"/>
      <c r="H6" s="13"/>
      <c r="I6" s="13"/>
      <c r="J6" s="13"/>
      <c r="K6" s="13"/>
      <c r="X6" s="14"/>
    </row>
    <row r="7" spans="3:24" hidden="1" x14ac:dyDescent="0.25">
      <c r="C7" t="s">
        <v>14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3:24" x14ac:dyDescent="0.25">
      <c r="E8" s="13"/>
      <c r="F8" s="13"/>
      <c r="G8" s="13"/>
      <c r="H8" s="13"/>
      <c r="I8" s="13"/>
      <c r="J8" s="13"/>
      <c r="K8" s="13"/>
      <c r="X8" s="13"/>
    </row>
    <row r="9" spans="3:24" s="11" customFormat="1" x14ac:dyDescent="0.25">
      <c r="C9" s="11" t="s">
        <v>151</v>
      </c>
      <c r="E9" s="17">
        <f t="shared" ref="E9:L9" si="1">SUM(E11:E41)</f>
        <v>289.94</v>
      </c>
      <c r="F9" s="17">
        <f t="shared" si="1"/>
        <v>253.56</v>
      </c>
      <c r="G9" s="17">
        <f t="shared" si="1"/>
        <v>253.56</v>
      </c>
      <c r="H9" s="17">
        <f t="shared" si="1"/>
        <v>140.13</v>
      </c>
      <c r="I9" s="17">
        <f t="shared" si="1"/>
        <v>143.94</v>
      </c>
      <c r="J9" s="17">
        <f t="shared" si="1"/>
        <v>117.22</v>
      </c>
      <c r="K9" s="17">
        <f t="shared" si="1"/>
        <v>135.47</v>
      </c>
      <c r="L9" s="17">
        <f t="shared" si="1"/>
        <v>123.52</v>
      </c>
      <c r="M9" s="17">
        <f>SUM(M11:M41)</f>
        <v>163.66</v>
      </c>
      <c r="N9" s="17">
        <f t="shared" ref="N9:P9" si="2">SUM(N11:N41)</f>
        <v>256.95</v>
      </c>
      <c r="O9" s="17">
        <f t="shared" si="2"/>
        <v>268.60000000000002</v>
      </c>
      <c r="P9" s="17">
        <f t="shared" si="2"/>
        <v>310.79000000000002</v>
      </c>
      <c r="Q9" s="17"/>
      <c r="R9" s="17"/>
      <c r="S9" s="17"/>
      <c r="T9" s="17"/>
      <c r="U9" s="17"/>
      <c r="V9" s="17"/>
      <c r="W9" s="17"/>
      <c r="X9" s="17"/>
    </row>
    <row r="10" spans="3:24" x14ac:dyDescent="0.25">
      <c r="C10" s="18">
        <f>(250/1500)</f>
        <v>0.16666666666666666</v>
      </c>
      <c r="D10" s="18"/>
      <c r="E10" s="13"/>
      <c r="F10" s="13"/>
      <c r="G10" s="13"/>
      <c r="H10" s="13"/>
      <c r="I10" s="13"/>
      <c r="J10" s="13"/>
      <c r="K10" s="13"/>
      <c r="X10" s="13"/>
    </row>
    <row r="11" spans="3:24" x14ac:dyDescent="0.25">
      <c r="C11" t="s">
        <v>107</v>
      </c>
      <c r="D11" s="4">
        <f>SUM(E11:P11)*$C$10</f>
        <v>0</v>
      </c>
      <c r="E11" s="13"/>
      <c r="F11" s="13"/>
      <c r="G11" s="13"/>
      <c r="H11" s="13"/>
      <c r="I11" s="13"/>
      <c r="J11" s="13"/>
      <c r="K11" s="13"/>
      <c r="X11" s="13"/>
    </row>
    <row r="12" spans="3:24" x14ac:dyDescent="0.25">
      <c r="C12" t="s">
        <v>144</v>
      </c>
      <c r="D12" s="4">
        <f>SUM(E12:P12)*$C$10</f>
        <v>409.55666666666667</v>
      </c>
      <c r="E12" s="13">
        <v>289.94</v>
      </c>
      <c r="F12" s="19">
        <v>253.56</v>
      </c>
      <c r="G12" s="19">
        <v>253.56</v>
      </c>
      <c r="H12" s="19">
        <v>140.13</v>
      </c>
      <c r="I12" s="19">
        <v>143.94</v>
      </c>
      <c r="J12" s="19">
        <v>117.22</v>
      </c>
      <c r="K12" s="19">
        <v>135.47</v>
      </c>
      <c r="L12" s="19">
        <v>123.52</v>
      </c>
      <c r="M12" s="19">
        <v>163.66</v>
      </c>
      <c r="N12" s="19">
        <v>256.95</v>
      </c>
      <c r="O12" s="19">
        <v>268.60000000000002</v>
      </c>
      <c r="P12" s="19">
        <v>310.79000000000002</v>
      </c>
      <c r="X12" s="13"/>
    </row>
    <row r="13" spans="3:24" x14ac:dyDescent="0.25">
      <c r="C13" t="s">
        <v>145</v>
      </c>
      <c r="E13" s="13"/>
      <c r="F13" s="13"/>
      <c r="G13" s="13"/>
      <c r="H13" s="13"/>
      <c r="I13" s="13"/>
      <c r="J13" s="13"/>
      <c r="K13" s="13"/>
      <c r="X13" s="13"/>
    </row>
    <row r="14" spans="3:24" x14ac:dyDescent="0.25">
      <c r="C14" t="s">
        <v>243</v>
      </c>
      <c r="E14" s="13"/>
      <c r="F14" s="13"/>
      <c r="G14" s="13"/>
      <c r="H14" s="13"/>
      <c r="I14" s="13"/>
      <c r="J14" s="13"/>
      <c r="K14" s="13"/>
      <c r="X14" s="13"/>
    </row>
    <row r="15" spans="3:24" x14ac:dyDescent="0.25">
      <c r="C15" t="s">
        <v>162</v>
      </c>
      <c r="E15" s="13"/>
      <c r="F15" s="13"/>
      <c r="G15" s="13"/>
      <c r="H15" s="13"/>
      <c r="I15" s="13"/>
      <c r="J15" s="13"/>
      <c r="K15" s="13"/>
      <c r="X15" s="13"/>
    </row>
    <row r="16" spans="3:24" x14ac:dyDescent="0.25">
      <c r="C16" t="s">
        <v>244</v>
      </c>
      <c r="E16" s="13"/>
      <c r="F16" s="13"/>
      <c r="G16" s="13"/>
      <c r="H16" s="13"/>
      <c r="I16" s="13"/>
      <c r="J16" s="13"/>
      <c r="K16" s="13"/>
      <c r="X16" s="13"/>
    </row>
    <row r="17" spans="3:24" x14ac:dyDescent="0.25">
      <c r="E17" s="13"/>
      <c r="F17" s="13"/>
      <c r="G17" s="13"/>
      <c r="H17" s="13"/>
      <c r="I17" s="13"/>
      <c r="J17" s="13"/>
      <c r="K17" s="13"/>
      <c r="X17" s="13"/>
    </row>
    <row r="18" spans="3:24" x14ac:dyDescent="0.25">
      <c r="E18" s="13"/>
      <c r="F18" s="13"/>
      <c r="G18" s="13"/>
      <c r="H18" s="13"/>
      <c r="I18" s="13"/>
      <c r="J18" s="13"/>
      <c r="K18" s="13"/>
      <c r="X18" s="13"/>
    </row>
    <row r="19" spans="3:24" x14ac:dyDescent="0.25">
      <c r="C19" t="s">
        <v>212</v>
      </c>
      <c r="E19" s="13"/>
      <c r="F19" s="13"/>
      <c r="G19" s="13"/>
      <c r="H19" s="13"/>
      <c r="I19" s="13"/>
      <c r="J19" s="13"/>
      <c r="K19" s="13"/>
      <c r="X19" s="13"/>
    </row>
    <row r="20" spans="3:24" x14ac:dyDescent="0.25">
      <c r="C20" t="s">
        <v>236</v>
      </c>
      <c r="E20" s="13"/>
      <c r="F20" s="13"/>
      <c r="G20" s="13"/>
      <c r="H20" s="13"/>
      <c r="I20" s="13"/>
      <c r="J20" s="13"/>
      <c r="K20" s="13"/>
      <c r="X20" s="13"/>
    </row>
    <row r="21" spans="3:24" x14ac:dyDescent="0.25">
      <c r="E21" s="13"/>
      <c r="F21" s="13"/>
      <c r="G21" s="13"/>
      <c r="H21" s="13"/>
      <c r="I21" s="13"/>
      <c r="J21" s="13"/>
      <c r="K21" s="13"/>
      <c r="X21" s="13"/>
    </row>
    <row r="22" spans="3:24" x14ac:dyDescent="0.25">
      <c r="C22" t="s">
        <v>242</v>
      </c>
      <c r="E22" s="13"/>
      <c r="F22" s="13"/>
      <c r="G22" s="13"/>
      <c r="H22" s="13"/>
      <c r="I22" s="13"/>
      <c r="J22" s="13"/>
      <c r="K22" s="13"/>
      <c r="X22" s="13"/>
    </row>
    <row r="23" spans="3:24" x14ac:dyDescent="0.25">
      <c r="C23" t="s">
        <v>241</v>
      </c>
      <c r="E23" s="13"/>
      <c r="F23" s="13"/>
      <c r="G23" s="13"/>
      <c r="H23" s="13"/>
      <c r="I23" s="13"/>
      <c r="J23" s="13"/>
      <c r="K23" s="13"/>
      <c r="X23" s="13"/>
    </row>
    <row r="24" spans="3:24" x14ac:dyDescent="0.25">
      <c r="C24" t="s">
        <v>161</v>
      </c>
      <c r="E24" s="13"/>
      <c r="F24" s="13"/>
      <c r="G24" s="13"/>
      <c r="H24" s="13"/>
      <c r="I24" s="13"/>
      <c r="J24" s="13"/>
      <c r="K24" s="13"/>
      <c r="X24" s="13"/>
    </row>
    <row r="25" spans="3:24" x14ac:dyDescent="0.25">
      <c r="C25" s="11" t="s">
        <v>152</v>
      </c>
      <c r="D25" s="11"/>
      <c r="E25" s="13"/>
      <c r="F25" s="13"/>
      <c r="G25" s="13"/>
      <c r="H25" s="13"/>
      <c r="I25" s="13"/>
      <c r="J25" s="13"/>
      <c r="K25" s="13"/>
      <c r="X25" s="13"/>
    </row>
    <row r="26" spans="3:24" x14ac:dyDescent="0.25">
      <c r="C26" s="16" t="s">
        <v>98</v>
      </c>
      <c r="D26" s="16"/>
      <c r="E26" s="13"/>
      <c r="F26" s="13"/>
      <c r="G26" s="13"/>
      <c r="H26" s="13"/>
      <c r="I26" s="13"/>
      <c r="J26" s="13"/>
      <c r="K26" s="13"/>
      <c r="X26" s="13"/>
    </row>
    <row r="27" spans="3:24" x14ac:dyDescent="0.25">
      <c r="C27" s="16" t="s">
        <v>232</v>
      </c>
      <c r="D27" s="16"/>
      <c r="E27" s="13"/>
      <c r="F27" s="13"/>
      <c r="G27" s="13"/>
      <c r="H27" s="13"/>
      <c r="I27" s="13"/>
      <c r="J27" s="13"/>
      <c r="K27" s="13"/>
      <c r="X27" s="13"/>
    </row>
    <row r="28" spans="3:24" x14ac:dyDescent="0.25">
      <c r="C28" s="16" t="s">
        <v>233</v>
      </c>
      <c r="D28" s="16"/>
      <c r="E28" s="13"/>
      <c r="F28" s="13"/>
      <c r="G28" s="13"/>
      <c r="H28" s="13"/>
      <c r="I28" s="13"/>
      <c r="J28" s="13"/>
      <c r="K28" s="13"/>
      <c r="X28" s="13"/>
    </row>
    <row r="29" spans="3:24" x14ac:dyDescent="0.25">
      <c r="E29" s="13"/>
      <c r="F29" s="13"/>
      <c r="G29" s="13"/>
      <c r="H29" s="13"/>
      <c r="I29" s="13"/>
      <c r="J29" s="13"/>
      <c r="K29" s="13"/>
      <c r="X29" s="13"/>
    </row>
    <row r="30" spans="3:24" x14ac:dyDescent="0.25">
      <c r="C30" t="s">
        <v>146</v>
      </c>
      <c r="E30" s="13"/>
      <c r="F30" s="13"/>
      <c r="G30" s="13"/>
      <c r="H30" s="13"/>
      <c r="I30" s="13"/>
      <c r="J30" s="13"/>
      <c r="K30" s="13"/>
      <c r="X30" s="13"/>
    </row>
    <row r="31" spans="3:24" x14ac:dyDescent="0.25">
      <c r="C31" t="s">
        <v>150</v>
      </c>
      <c r="E31" s="13"/>
      <c r="F31" s="13"/>
      <c r="G31" s="13"/>
      <c r="H31" s="13"/>
      <c r="I31" s="13"/>
      <c r="J31" s="13"/>
      <c r="K31" s="13"/>
      <c r="X31" s="13"/>
    </row>
    <row r="32" spans="3:24" x14ac:dyDescent="0.25">
      <c r="E32" s="13"/>
      <c r="F32" s="13"/>
      <c r="G32" s="13"/>
      <c r="H32" s="13"/>
      <c r="I32" s="13"/>
      <c r="J32" s="13"/>
      <c r="K32" s="13"/>
      <c r="X32" s="13"/>
    </row>
    <row r="33" spans="3:24" x14ac:dyDescent="0.25">
      <c r="E33" s="13"/>
      <c r="F33" s="13"/>
      <c r="G33" s="13"/>
      <c r="H33" s="13"/>
      <c r="I33" s="13"/>
      <c r="J33" s="13"/>
      <c r="K33" s="13"/>
      <c r="X33" s="13"/>
    </row>
    <row r="34" spans="3:24" x14ac:dyDescent="0.25">
      <c r="C34" t="s">
        <v>234</v>
      </c>
      <c r="E34" s="13"/>
      <c r="F34" s="13"/>
      <c r="G34" s="13"/>
      <c r="H34" s="13"/>
      <c r="I34" s="13"/>
      <c r="J34" s="13"/>
      <c r="K34" s="13"/>
      <c r="X34" s="13"/>
    </row>
    <row r="35" spans="3:24" x14ac:dyDescent="0.25">
      <c r="C35" t="s">
        <v>147</v>
      </c>
      <c r="E35" s="13"/>
      <c r="F35" s="13"/>
      <c r="G35" s="13"/>
      <c r="H35" s="13"/>
      <c r="I35" s="13"/>
      <c r="J35" s="13"/>
      <c r="K35" s="13"/>
      <c r="X35" s="13"/>
    </row>
    <row r="36" spans="3:24" x14ac:dyDescent="0.25">
      <c r="C36" t="s">
        <v>148</v>
      </c>
      <c r="E36" s="13"/>
      <c r="F36" s="13"/>
      <c r="G36" s="13"/>
      <c r="H36" s="13"/>
      <c r="I36" s="13"/>
      <c r="J36" s="13"/>
      <c r="K36" s="13"/>
      <c r="X36" s="13"/>
    </row>
    <row r="37" spans="3:24" x14ac:dyDescent="0.25">
      <c r="C37" t="s">
        <v>149</v>
      </c>
      <c r="E37" s="13"/>
      <c r="F37" s="13"/>
      <c r="G37" s="13"/>
      <c r="H37" s="13"/>
      <c r="I37" s="13"/>
      <c r="J37" s="13"/>
      <c r="K37" s="13"/>
      <c r="X37" s="13"/>
    </row>
    <row r="38" spans="3:24" x14ac:dyDescent="0.25">
      <c r="C38" t="s">
        <v>160</v>
      </c>
      <c r="E38" s="13"/>
      <c r="F38" s="13"/>
      <c r="G38" s="13"/>
      <c r="H38" s="13"/>
      <c r="I38" s="13"/>
      <c r="J38" s="13"/>
      <c r="K38" s="13"/>
      <c r="X38" s="13"/>
    </row>
    <row r="39" spans="3:24" x14ac:dyDescent="0.25">
      <c r="C39" t="s">
        <v>235</v>
      </c>
      <c r="E39" s="13"/>
      <c r="F39" s="13"/>
      <c r="G39" s="13"/>
      <c r="H39" s="13"/>
      <c r="I39" s="13"/>
      <c r="J39" s="13"/>
      <c r="K39" s="13"/>
      <c r="X39" s="13"/>
    </row>
    <row r="40" spans="3:24" x14ac:dyDescent="0.25">
      <c r="E40" s="13"/>
      <c r="F40" s="13"/>
      <c r="G40" s="13"/>
      <c r="H40" s="13"/>
      <c r="I40" s="13"/>
      <c r="J40" s="13"/>
      <c r="K40" s="13"/>
      <c r="X40" s="13"/>
    </row>
    <row r="41" spans="3:24" x14ac:dyDescent="0.25">
      <c r="E41" s="13"/>
      <c r="F41" s="13"/>
      <c r="G41" s="13"/>
      <c r="H41" s="13"/>
      <c r="I41" s="13"/>
      <c r="J41" s="13"/>
      <c r="K41" s="13"/>
      <c r="X41" s="13"/>
    </row>
    <row r="42" spans="3:24" x14ac:dyDescent="0.25">
      <c r="E42" s="13"/>
      <c r="F42" s="13"/>
      <c r="G42" s="13"/>
      <c r="H42" s="13"/>
      <c r="I42" s="13"/>
      <c r="J42" s="13"/>
      <c r="K42" s="13"/>
      <c r="X42" s="13"/>
    </row>
    <row r="43" spans="3:24" x14ac:dyDescent="0.25">
      <c r="C43" t="s">
        <v>237</v>
      </c>
    </row>
    <row r="44" spans="3:24" x14ac:dyDescent="0.25">
      <c r="C44" t="s">
        <v>238</v>
      </c>
    </row>
    <row r="45" spans="3:24" x14ac:dyDescent="0.25">
      <c r="C45" t="s">
        <v>240</v>
      </c>
    </row>
    <row r="46" spans="3:24" x14ac:dyDescent="0.25">
      <c r="C46" t="s">
        <v>239</v>
      </c>
    </row>
    <row r="47" spans="3:24" x14ac:dyDescent="0.25">
      <c r="C47" t="s">
        <v>245</v>
      </c>
    </row>
    <row r="48" spans="3:24" x14ac:dyDescent="0.25">
      <c r="C48" t="s">
        <v>246</v>
      </c>
    </row>
    <row r="49" spans="3:3" x14ac:dyDescent="0.25">
      <c r="C49" t="s">
        <v>247</v>
      </c>
    </row>
    <row r="50" spans="3:3" x14ac:dyDescent="0.25">
      <c r="C50" t="s">
        <v>248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 x14ac:dyDescent="0.25">
      <c r="G4" t="s">
        <v>12</v>
      </c>
      <c r="I4" s="6">
        <f>SUM(I13:I20)</f>
        <v>20</v>
      </c>
      <c r="J4" s="5"/>
      <c r="L4" s="4"/>
    </row>
    <row r="5" spans="7:12" x14ac:dyDescent="0.25">
      <c r="G5" t="s">
        <v>13</v>
      </c>
      <c r="I5" s="2"/>
      <c r="J5" s="5">
        <f>SUM(J13:J23)</f>
        <v>591.98</v>
      </c>
      <c r="L5" s="5"/>
    </row>
    <row r="6" spans="7:12" x14ac:dyDescent="0.25">
      <c r="I6" s="2"/>
      <c r="J6" s="5"/>
      <c r="L6" s="5"/>
    </row>
    <row r="7" spans="7:12" x14ac:dyDescent="0.25">
      <c r="G7" t="s">
        <v>14</v>
      </c>
      <c r="I7" s="5">
        <f>I4-J5</f>
        <v>-571.98</v>
      </c>
      <c r="L7" s="5"/>
    </row>
    <row r="13" spans="7:12" x14ac:dyDescent="0.25">
      <c r="G13" t="s">
        <v>15</v>
      </c>
      <c r="I13" s="6">
        <v>20</v>
      </c>
    </row>
    <row r="14" spans="7:12" x14ac:dyDescent="0.25">
      <c r="G14" t="s">
        <v>16</v>
      </c>
      <c r="J14" s="5">
        <v>5</v>
      </c>
    </row>
    <row r="15" spans="7:12" x14ac:dyDescent="0.25">
      <c r="G15" t="s">
        <v>17</v>
      </c>
    </row>
    <row r="16" spans="7:12" x14ac:dyDescent="0.25">
      <c r="G16" t="s">
        <v>18</v>
      </c>
      <c r="J16" s="5"/>
    </row>
    <row r="17" spans="5:21" x14ac:dyDescent="0.25">
      <c r="G17" t="s">
        <v>19</v>
      </c>
    </row>
    <row r="18" spans="5:21" x14ac:dyDescent="0.25">
      <c r="G18" t="s">
        <v>20</v>
      </c>
      <c r="J18" s="5">
        <v>7</v>
      </c>
    </row>
    <row r="21" spans="5:21" x14ac:dyDescent="0.25">
      <c r="G21" s="8" t="s">
        <v>21</v>
      </c>
      <c r="H21" s="8" t="s">
        <v>22</v>
      </c>
      <c r="I21" s="7"/>
      <c r="J21" s="10"/>
      <c r="K21" s="10"/>
      <c r="L21" s="8" t="s">
        <v>107</v>
      </c>
      <c r="M21" s="8" t="s">
        <v>115</v>
      </c>
      <c r="N21" s="8" t="s">
        <v>175</v>
      </c>
      <c r="O21" s="8" t="s">
        <v>23</v>
      </c>
      <c r="P21" s="8" t="s">
        <v>24</v>
      </c>
      <c r="Q21" s="8" t="s">
        <v>167</v>
      </c>
      <c r="R21" s="8" t="s">
        <v>25</v>
      </c>
      <c r="S21" s="8"/>
      <c r="T21" s="8" t="s">
        <v>30</v>
      </c>
      <c r="U21" s="8" t="s">
        <v>35</v>
      </c>
    </row>
    <row r="22" spans="5:21" x14ac:dyDescent="0.25">
      <c r="E22" t="s">
        <v>26</v>
      </c>
      <c r="F22" s="1">
        <v>42374</v>
      </c>
      <c r="G22" t="s">
        <v>27</v>
      </c>
      <c r="H22" t="s">
        <v>28</v>
      </c>
      <c r="J22" s="5">
        <v>579.98</v>
      </c>
      <c r="O22">
        <v>579.98</v>
      </c>
    </row>
    <row r="26" spans="5:21" x14ac:dyDescent="0.25">
      <c r="F26" s="1"/>
    </row>
    <row r="29" spans="5:21" x14ac:dyDescent="0.25">
      <c r="F29" s="1">
        <v>42381</v>
      </c>
      <c r="G29" t="s">
        <v>220</v>
      </c>
      <c r="H29" t="s">
        <v>221</v>
      </c>
      <c r="J29" s="3">
        <v>233.33</v>
      </c>
      <c r="T29">
        <v>233.33</v>
      </c>
    </row>
    <row r="30" spans="5:21" x14ac:dyDescent="0.25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 x14ac:dyDescent="0.25">
      <c r="G4" t="s">
        <v>12</v>
      </c>
      <c r="I4" s="6">
        <f>SUM(I12:I18)</f>
        <v>1300</v>
      </c>
      <c r="J4" s="5"/>
      <c r="L4" s="4"/>
    </row>
    <row r="5" spans="7:12" x14ac:dyDescent="0.25">
      <c r="G5" t="s">
        <v>13</v>
      </c>
      <c r="I5" s="2"/>
      <c r="J5" s="5">
        <f>SUM(J12:J23)</f>
        <v>1236.98</v>
      </c>
      <c r="L5" s="5"/>
    </row>
    <row r="6" spans="7:12" x14ac:dyDescent="0.25">
      <c r="I6" s="2"/>
      <c r="J6" s="5"/>
      <c r="L6" s="5"/>
    </row>
    <row r="7" spans="7:12" x14ac:dyDescent="0.25">
      <c r="G7" t="s">
        <v>14</v>
      </c>
      <c r="I7" s="6">
        <f>I4-J5</f>
        <v>63.019999999999982</v>
      </c>
      <c r="L7" s="5"/>
    </row>
    <row r="12" spans="7:12" x14ac:dyDescent="0.25">
      <c r="G12" t="s">
        <v>29</v>
      </c>
      <c r="I12" s="6">
        <v>1300</v>
      </c>
    </row>
    <row r="13" spans="7:12" x14ac:dyDescent="0.25">
      <c r="G13" t="s">
        <v>15</v>
      </c>
    </row>
    <row r="14" spans="7:12" x14ac:dyDescent="0.25">
      <c r="G14" t="s">
        <v>16</v>
      </c>
      <c r="J14" s="5">
        <v>5</v>
      </c>
    </row>
    <row r="15" spans="7:12" x14ac:dyDescent="0.25">
      <c r="G15" t="s">
        <v>17</v>
      </c>
    </row>
    <row r="16" spans="7:12" x14ac:dyDescent="0.25">
      <c r="G16" t="s">
        <v>18</v>
      </c>
      <c r="J16" s="5"/>
    </row>
    <row r="17" spans="5:17" x14ac:dyDescent="0.25">
      <c r="G17" t="s">
        <v>19</v>
      </c>
    </row>
    <row r="18" spans="5:17" x14ac:dyDescent="0.25">
      <c r="G18" t="s">
        <v>20</v>
      </c>
      <c r="J18" s="5">
        <v>7</v>
      </c>
    </row>
    <row r="21" spans="5:17" x14ac:dyDescent="0.25">
      <c r="G21" t="s">
        <v>21</v>
      </c>
      <c r="H21" t="s">
        <v>22</v>
      </c>
      <c r="K21" t="s">
        <v>23</v>
      </c>
      <c r="M21" t="s">
        <v>24</v>
      </c>
      <c r="O21" t="s">
        <v>25</v>
      </c>
      <c r="Q21" t="s">
        <v>30</v>
      </c>
    </row>
    <row r="22" spans="5:17" x14ac:dyDescent="0.25">
      <c r="E22" t="s">
        <v>31</v>
      </c>
      <c r="F22" s="1">
        <v>42401</v>
      </c>
      <c r="G22" t="s">
        <v>32</v>
      </c>
      <c r="H22" t="s">
        <v>33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 x14ac:dyDescent="0.25">
      <c r="E23" t="s">
        <v>219</v>
      </c>
      <c r="F23" s="1">
        <v>42405</v>
      </c>
      <c r="G23" t="s">
        <v>27</v>
      </c>
      <c r="H23" t="s">
        <v>34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 x14ac:dyDescent="0.25">
      <c r="F26" s="1"/>
    </row>
    <row r="30" spans="5:17" x14ac:dyDescent="0.25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 x14ac:dyDescent="0.25">
      <c r="G4" t="s">
        <v>12</v>
      </c>
      <c r="J4" s="6">
        <f>SUM(J12:J24)</f>
        <v>2800</v>
      </c>
      <c r="M4" s="4"/>
    </row>
    <row r="5" spans="7:13" x14ac:dyDescent="0.25">
      <c r="G5" t="s">
        <v>13</v>
      </c>
      <c r="I5" s="2"/>
      <c r="J5" s="2"/>
      <c r="L5" s="5">
        <f>S30</f>
        <v>1600</v>
      </c>
      <c r="M5" s="5"/>
    </row>
    <row r="6" spans="7:13" x14ac:dyDescent="0.25">
      <c r="I6" s="2"/>
      <c r="J6" s="2"/>
      <c r="M6" s="5"/>
    </row>
    <row r="7" spans="7:13" x14ac:dyDescent="0.25">
      <c r="G7" t="s">
        <v>14</v>
      </c>
      <c r="J7" s="6">
        <f>J4-L5</f>
        <v>1200</v>
      </c>
      <c r="M7" s="5"/>
    </row>
    <row r="12" spans="7:13" x14ac:dyDescent="0.25">
      <c r="G12" t="s">
        <v>29</v>
      </c>
      <c r="J12" s="6">
        <f>I13+I14</f>
        <v>2800</v>
      </c>
    </row>
    <row r="13" spans="7:13" x14ac:dyDescent="0.25">
      <c r="H13" s="1">
        <v>42431</v>
      </c>
      <c r="I13" s="6">
        <v>1000</v>
      </c>
    </row>
    <row r="14" spans="7:13" x14ac:dyDescent="0.25">
      <c r="H14" s="1">
        <v>42452</v>
      </c>
      <c r="I14" s="6">
        <v>1800</v>
      </c>
    </row>
    <row r="15" spans="7:13" x14ac:dyDescent="0.25">
      <c r="G15" t="s">
        <v>15</v>
      </c>
    </row>
    <row r="16" spans="7:13" x14ac:dyDescent="0.25">
      <c r="G16" t="s">
        <v>16</v>
      </c>
      <c r="L16" s="5">
        <f>K17+K18</f>
        <v>5.49</v>
      </c>
    </row>
    <row r="17" spans="5:19" x14ac:dyDescent="0.25">
      <c r="H17" s="1">
        <v>42431</v>
      </c>
      <c r="K17" s="9">
        <v>5</v>
      </c>
    </row>
    <row r="18" spans="5:19" x14ac:dyDescent="0.25">
      <c r="H18" s="1">
        <v>42443</v>
      </c>
      <c r="K18" s="9">
        <v>0.49</v>
      </c>
    </row>
    <row r="19" spans="5:19" x14ac:dyDescent="0.25">
      <c r="G19" t="s">
        <v>17</v>
      </c>
    </row>
    <row r="20" spans="5:19" x14ac:dyDescent="0.25">
      <c r="H20" s="1">
        <v>42443</v>
      </c>
      <c r="I20" s="6">
        <v>0.49</v>
      </c>
    </row>
    <row r="21" spans="5:19" x14ac:dyDescent="0.25">
      <c r="H21" s="1">
        <v>42453</v>
      </c>
      <c r="I21" s="6">
        <v>30</v>
      </c>
    </row>
    <row r="22" spans="5:19" x14ac:dyDescent="0.25">
      <c r="G22" t="s">
        <v>18</v>
      </c>
    </row>
    <row r="23" spans="5:19" x14ac:dyDescent="0.25">
      <c r="G23" t="s">
        <v>19</v>
      </c>
    </row>
    <row r="24" spans="5:19" x14ac:dyDescent="0.25">
      <c r="G24" t="s">
        <v>20</v>
      </c>
    </row>
    <row r="25" spans="5:19" x14ac:dyDescent="0.25">
      <c r="H25" s="1">
        <v>42460</v>
      </c>
      <c r="K25" s="9">
        <v>7</v>
      </c>
    </row>
    <row r="27" spans="5:19" x14ac:dyDescent="0.25">
      <c r="G27" t="s">
        <v>21</v>
      </c>
      <c r="H27" t="s">
        <v>22</v>
      </c>
      <c r="M27" t="s">
        <v>23</v>
      </c>
      <c r="N27" t="s">
        <v>24</v>
      </c>
      <c r="P27" t="s">
        <v>25</v>
      </c>
      <c r="R27" t="s">
        <v>30</v>
      </c>
      <c r="S27" t="s">
        <v>35</v>
      </c>
    </row>
    <row r="28" spans="5:19" x14ac:dyDescent="0.25">
      <c r="E28" t="s">
        <v>36</v>
      </c>
      <c r="F28" s="1">
        <v>42436</v>
      </c>
      <c r="G28" t="s">
        <v>27</v>
      </c>
      <c r="H28" t="s">
        <v>37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 x14ac:dyDescent="0.25">
      <c r="E29" t="s">
        <v>38</v>
      </c>
      <c r="F29" s="1">
        <v>42453</v>
      </c>
      <c r="G29" t="s">
        <v>27</v>
      </c>
      <c r="H29" t="s">
        <v>39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 x14ac:dyDescent="0.25">
      <c r="E30" t="s">
        <v>40</v>
      </c>
      <c r="F30" s="1">
        <v>42454</v>
      </c>
      <c r="G30" t="s">
        <v>41</v>
      </c>
      <c r="H30" t="s">
        <v>231</v>
      </c>
      <c r="K30" s="9">
        <v>1600</v>
      </c>
      <c r="S30" s="4">
        <f>K30</f>
        <v>1600</v>
      </c>
    </row>
    <row r="32" spans="5:19" x14ac:dyDescent="0.25">
      <c r="F32" s="1"/>
    </row>
    <row r="36" spans="6:10" x14ac:dyDescent="0.25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t="s">
        <v>12</v>
      </c>
      <c r="J4" s="6">
        <f>J12</f>
        <v>6100</v>
      </c>
      <c r="M4" s="4"/>
    </row>
    <row r="5" spans="6:13" x14ac:dyDescent="0.25">
      <c r="G5" t="s">
        <v>13</v>
      </c>
      <c r="I5" s="2"/>
      <c r="J5" s="2"/>
      <c r="K5" s="9">
        <f>SUM(K18:K32)</f>
        <v>5211.5599999999995</v>
      </c>
      <c r="L5" s="5"/>
      <c r="M5" s="5"/>
    </row>
    <row r="6" spans="6:13" x14ac:dyDescent="0.25">
      <c r="I6" s="2"/>
      <c r="J6" s="2"/>
      <c r="M6" s="5"/>
    </row>
    <row r="7" spans="6:13" x14ac:dyDescent="0.25">
      <c r="G7" t="s">
        <v>14</v>
      </c>
      <c r="J7" s="6">
        <f>J4-K5</f>
        <v>888.44000000000051</v>
      </c>
      <c r="M7" s="5"/>
    </row>
    <row r="12" spans="6:13" x14ac:dyDescent="0.25">
      <c r="G12" t="s">
        <v>29</v>
      </c>
      <c r="J12" s="6">
        <f>SUM(I13:I15)</f>
        <v>6100</v>
      </c>
    </row>
    <row r="13" spans="6:13" x14ac:dyDescent="0.25">
      <c r="F13" s="1">
        <v>42461</v>
      </c>
      <c r="I13" s="6">
        <v>2400</v>
      </c>
    </row>
    <row r="14" spans="6:13" x14ac:dyDescent="0.25">
      <c r="F14" s="1">
        <v>42466</v>
      </c>
      <c r="I14" s="6">
        <v>2000</v>
      </c>
    </row>
    <row r="15" spans="6:13" x14ac:dyDescent="0.25">
      <c r="F15" s="1">
        <v>42479</v>
      </c>
      <c r="I15" s="6">
        <v>1700</v>
      </c>
    </row>
    <row r="16" spans="6:13" x14ac:dyDescent="0.25">
      <c r="G16" t="s">
        <v>15</v>
      </c>
    </row>
    <row r="17" spans="5:19" x14ac:dyDescent="0.25">
      <c r="G17" t="s">
        <v>16</v>
      </c>
      <c r="L17" s="5"/>
    </row>
    <row r="18" spans="5:19" x14ac:dyDescent="0.25">
      <c r="F18" s="1">
        <v>42479</v>
      </c>
      <c r="K18" s="9">
        <v>10</v>
      </c>
    </row>
    <row r="19" spans="5:19" x14ac:dyDescent="0.25">
      <c r="H19" s="1"/>
    </row>
    <row r="20" spans="5:19" x14ac:dyDescent="0.25">
      <c r="G20" t="s">
        <v>17</v>
      </c>
    </row>
    <row r="21" spans="5:19" x14ac:dyDescent="0.25">
      <c r="F21" s="1">
        <v>42443</v>
      </c>
    </row>
    <row r="22" spans="5:19" x14ac:dyDescent="0.25">
      <c r="F22" s="1">
        <v>42453</v>
      </c>
    </row>
    <row r="23" spans="5:19" x14ac:dyDescent="0.25">
      <c r="G23" t="s">
        <v>18</v>
      </c>
    </row>
    <row r="24" spans="5:19" x14ac:dyDescent="0.25">
      <c r="G24" t="s">
        <v>19</v>
      </c>
    </row>
    <row r="25" spans="5:19" x14ac:dyDescent="0.25">
      <c r="G25" t="s">
        <v>20</v>
      </c>
    </row>
    <row r="26" spans="5:19" x14ac:dyDescent="0.25">
      <c r="F26" s="1">
        <v>42490</v>
      </c>
      <c r="K26" s="9">
        <v>7</v>
      </c>
    </row>
    <row r="28" spans="5:19" x14ac:dyDescent="0.25">
      <c r="G28" s="8" t="s">
        <v>21</v>
      </c>
      <c r="H28" s="8" t="s">
        <v>22</v>
      </c>
      <c r="I28" s="7"/>
      <c r="J28" s="7"/>
      <c r="K28" s="10"/>
      <c r="L28" s="8"/>
      <c r="M28" s="8" t="s">
        <v>23</v>
      </c>
      <c r="N28" s="8" t="s">
        <v>24</v>
      </c>
      <c r="O28" s="8"/>
      <c r="P28" s="8" t="s">
        <v>25</v>
      </c>
      <c r="Q28" s="8"/>
      <c r="R28" s="8" t="s">
        <v>30</v>
      </c>
      <c r="S28" s="8" t="s">
        <v>35</v>
      </c>
    </row>
    <row r="29" spans="5:19" x14ac:dyDescent="0.25">
      <c r="E29" t="s">
        <v>42</v>
      </c>
      <c r="F29" s="1">
        <v>42464</v>
      </c>
      <c r="G29" t="s">
        <v>41</v>
      </c>
      <c r="H29" t="s">
        <v>43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 x14ac:dyDescent="0.25">
      <c r="E30" t="s">
        <v>44</v>
      </c>
      <c r="F30" s="1">
        <v>42466</v>
      </c>
      <c r="G30" t="s">
        <v>45</v>
      </c>
      <c r="H30" t="s">
        <v>46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 x14ac:dyDescent="0.25">
      <c r="E31" t="s">
        <v>47</v>
      </c>
      <c r="F31" s="1">
        <v>42479</v>
      </c>
      <c r="G31" t="s">
        <v>48</v>
      </c>
      <c r="H31" t="s">
        <v>49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 x14ac:dyDescent="0.25">
      <c r="E32" t="s">
        <v>50</v>
      </c>
      <c r="F32" s="1">
        <v>42485</v>
      </c>
      <c r="G32" t="s">
        <v>27</v>
      </c>
      <c r="H32" t="s">
        <v>51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 x14ac:dyDescent="0.25">
      <c r="F33" s="1"/>
    </row>
    <row r="37" spans="6:10" x14ac:dyDescent="0.25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t="s">
        <v>12</v>
      </c>
      <c r="J4" s="6">
        <f>J13</f>
        <v>233.33</v>
      </c>
      <c r="M4" s="4"/>
    </row>
    <row r="5" spans="6:13" x14ac:dyDescent="0.25">
      <c r="G5" t="s">
        <v>13</v>
      </c>
      <c r="I5" s="2"/>
      <c r="J5" s="2"/>
      <c r="L5" s="5">
        <f>L17+L25+L32</f>
        <v>1983.63</v>
      </c>
      <c r="M5" s="5"/>
    </row>
    <row r="6" spans="6:13" x14ac:dyDescent="0.25">
      <c r="I6" s="2"/>
      <c r="J6" s="2"/>
      <c r="M6" s="5"/>
    </row>
    <row r="7" spans="6:13" x14ac:dyDescent="0.25">
      <c r="G7" t="s">
        <v>14</v>
      </c>
      <c r="J7" s="5">
        <f>J4-L5</f>
        <v>-1750.3000000000002</v>
      </c>
      <c r="M7" s="5"/>
    </row>
    <row r="12" spans="6:13" x14ac:dyDescent="0.25">
      <c r="G12" t="s">
        <v>29</v>
      </c>
    </row>
    <row r="13" spans="6:13" x14ac:dyDescent="0.25">
      <c r="F13" s="1">
        <v>42499</v>
      </c>
      <c r="H13" s="1" t="s">
        <v>52</v>
      </c>
      <c r="J13" s="6">
        <v>233.33</v>
      </c>
    </row>
    <row r="14" spans="6:13" x14ac:dyDescent="0.25">
      <c r="H14" s="1"/>
    </row>
    <row r="15" spans="6:13" x14ac:dyDescent="0.25">
      <c r="H15" s="1"/>
    </row>
    <row r="16" spans="6:13" x14ac:dyDescent="0.25">
      <c r="G16" t="s">
        <v>15</v>
      </c>
    </row>
    <row r="17" spans="6:12" x14ac:dyDescent="0.25">
      <c r="G17" t="s">
        <v>16</v>
      </c>
      <c r="L17" s="5">
        <f>K18+K19</f>
        <v>238</v>
      </c>
    </row>
    <row r="18" spans="6:12" x14ac:dyDescent="0.25">
      <c r="F18" s="1">
        <v>42506</v>
      </c>
      <c r="G18" t="s">
        <v>53</v>
      </c>
      <c r="H18" s="1"/>
      <c r="K18" s="9">
        <v>13</v>
      </c>
    </row>
    <row r="19" spans="6:12" x14ac:dyDescent="0.25">
      <c r="F19" s="1">
        <v>42506</v>
      </c>
      <c r="G19" t="s">
        <v>54</v>
      </c>
      <c r="H19" s="1" t="s">
        <v>55</v>
      </c>
      <c r="K19" s="9">
        <v>225</v>
      </c>
    </row>
    <row r="20" spans="6:12" x14ac:dyDescent="0.25">
      <c r="G20" t="s">
        <v>17</v>
      </c>
    </row>
    <row r="21" spans="6:12" x14ac:dyDescent="0.25">
      <c r="H21" s="1"/>
    </row>
    <row r="22" spans="6:12" x14ac:dyDescent="0.25">
      <c r="H22" s="1"/>
    </row>
    <row r="23" spans="6:12" x14ac:dyDescent="0.25">
      <c r="G23" t="s">
        <v>18</v>
      </c>
    </row>
    <row r="24" spans="6:12" x14ac:dyDescent="0.25">
      <c r="G24" t="s">
        <v>19</v>
      </c>
    </row>
    <row r="25" spans="6:12" x14ac:dyDescent="0.25">
      <c r="G25" t="s">
        <v>20</v>
      </c>
      <c r="L25" s="5">
        <f>SUM(K26:K30)</f>
        <v>84.2</v>
      </c>
    </row>
    <row r="26" spans="6:12" x14ac:dyDescent="0.25">
      <c r="F26" s="1">
        <v>42510</v>
      </c>
      <c r="K26" s="9">
        <v>2.2000000000000002</v>
      </c>
    </row>
    <row r="27" spans="6:12" x14ac:dyDescent="0.25">
      <c r="F27" s="1">
        <v>42510</v>
      </c>
      <c r="K27" s="9">
        <v>35</v>
      </c>
    </row>
    <row r="28" spans="6:12" x14ac:dyDescent="0.25">
      <c r="F28" s="1">
        <v>42515</v>
      </c>
      <c r="K28" s="9">
        <v>35</v>
      </c>
    </row>
    <row r="29" spans="6:12" x14ac:dyDescent="0.25">
      <c r="F29" s="1">
        <v>42517</v>
      </c>
      <c r="H29" s="1"/>
      <c r="K29" s="9">
        <v>5</v>
      </c>
    </row>
    <row r="30" spans="6:12" x14ac:dyDescent="0.25">
      <c r="F30" s="1">
        <v>43982</v>
      </c>
      <c r="H30" s="1" t="s">
        <v>56</v>
      </c>
      <c r="K30" s="9">
        <v>7</v>
      </c>
    </row>
    <row r="31" spans="6:12" x14ac:dyDescent="0.25">
      <c r="F31" s="1"/>
      <c r="H31" s="1"/>
    </row>
    <row r="32" spans="6:12" x14ac:dyDescent="0.25">
      <c r="L32" s="5">
        <f>SUM(K34:K36)</f>
        <v>1661.43</v>
      </c>
    </row>
    <row r="33" spans="5:19" x14ac:dyDescent="0.25">
      <c r="G33" s="8" t="s">
        <v>21</v>
      </c>
      <c r="H33" s="8" t="s">
        <v>22</v>
      </c>
      <c r="I33" s="7"/>
      <c r="J33" s="7"/>
      <c r="K33" s="10"/>
      <c r="L33" s="8"/>
      <c r="M33" s="8" t="s">
        <v>23</v>
      </c>
      <c r="N33" s="8" t="s">
        <v>24</v>
      </c>
      <c r="O33" s="8"/>
      <c r="P33" s="8" t="s">
        <v>25</v>
      </c>
      <c r="Q33" s="8"/>
      <c r="R33" s="8" t="s">
        <v>30</v>
      </c>
      <c r="S33" s="8" t="s">
        <v>35</v>
      </c>
    </row>
    <row r="34" spans="5:19" x14ac:dyDescent="0.25">
      <c r="E34" t="s">
        <v>57</v>
      </c>
      <c r="F34" s="1"/>
      <c r="G34" t="s">
        <v>58</v>
      </c>
      <c r="H34" t="s">
        <v>59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 x14ac:dyDescent="0.25">
      <c r="E35" t="s">
        <v>60</v>
      </c>
      <c r="F35" s="1"/>
      <c r="G35" t="s">
        <v>27</v>
      </c>
      <c r="H35" t="s">
        <v>61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 x14ac:dyDescent="0.25">
      <c r="E36" t="s">
        <v>62</v>
      </c>
      <c r="F36" s="1"/>
      <c r="G36" t="s">
        <v>63</v>
      </c>
      <c r="H36" t="s">
        <v>64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 x14ac:dyDescent="0.25">
      <c r="F37" s="1"/>
      <c r="M37" s="3"/>
      <c r="N37" s="5"/>
      <c r="O37" s="3"/>
      <c r="P37" s="3"/>
      <c r="Q37" s="3"/>
      <c r="R37" s="3"/>
      <c r="S37" s="3"/>
    </row>
    <row r="38" spans="5:19" x14ac:dyDescent="0.25">
      <c r="F38" s="1"/>
    </row>
    <row r="42" spans="5:19" x14ac:dyDescent="0.25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J4" s="6">
        <f>SUM(J12:J26)</f>
        <v>2203.19</v>
      </c>
      <c r="M4" s="4"/>
    </row>
    <row r="5" spans="6:13" x14ac:dyDescent="0.25">
      <c r="G5" s="11" t="s">
        <v>13</v>
      </c>
      <c r="I5" s="2"/>
      <c r="J5" s="2"/>
      <c r="L5" s="5">
        <f>SUM(L12:L33)</f>
        <v>1729.8899999999999</v>
      </c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J7" s="6">
        <f>J4-L5</f>
        <v>473.30000000000018</v>
      </c>
      <c r="M7" s="5"/>
    </row>
    <row r="12" spans="6:13" x14ac:dyDescent="0.25">
      <c r="G12" s="11" t="s">
        <v>29</v>
      </c>
      <c r="J12" s="6">
        <f>SUM(I13:I15)</f>
        <v>1776</v>
      </c>
    </row>
    <row r="13" spans="6:13" x14ac:dyDescent="0.25">
      <c r="F13" s="1">
        <v>42536</v>
      </c>
      <c r="H13" s="1" t="s">
        <v>52</v>
      </c>
      <c r="I13" s="6">
        <v>1000</v>
      </c>
    </row>
    <row r="14" spans="6:13" x14ac:dyDescent="0.25">
      <c r="F14" s="1">
        <v>42538</v>
      </c>
      <c r="H14" s="1" t="s">
        <v>52</v>
      </c>
      <c r="I14" s="6">
        <v>500</v>
      </c>
    </row>
    <row r="15" spans="6:13" x14ac:dyDescent="0.25">
      <c r="F15" s="1">
        <v>42550</v>
      </c>
      <c r="H15" s="1" t="s">
        <v>52</v>
      </c>
      <c r="I15" s="6">
        <v>276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>
        <f>K19+K20</f>
        <v>949.91</v>
      </c>
    </row>
    <row r="19" spans="6:12" x14ac:dyDescent="0.25">
      <c r="F19" s="1">
        <v>42523</v>
      </c>
      <c r="G19" s="1" t="s">
        <v>53</v>
      </c>
      <c r="H19" s="1" t="s">
        <v>53</v>
      </c>
      <c r="K19" s="9">
        <v>19</v>
      </c>
    </row>
    <row r="20" spans="6:12" x14ac:dyDescent="0.25">
      <c r="F20" s="1">
        <v>43997</v>
      </c>
      <c r="G20" t="s">
        <v>65</v>
      </c>
      <c r="H20" s="1" t="s">
        <v>66</v>
      </c>
      <c r="K20" s="9">
        <v>930.91</v>
      </c>
    </row>
    <row r="21" spans="6:12" x14ac:dyDescent="0.25">
      <c r="G21" s="11" t="s">
        <v>17</v>
      </c>
      <c r="J21" s="6">
        <f>I22+I23</f>
        <v>140.19</v>
      </c>
    </row>
    <row r="22" spans="6:12" x14ac:dyDescent="0.25">
      <c r="F22" s="1">
        <v>42551</v>
      </c>
      <c r="G22" s="12" t="s">
        <v>67</v>
      </c>
      <c r="H22" s="1"/>
      <c r="I22" s="6">
        <v>139.69999999999999</v>
      </c>
    </row>
    <row r="23" spans="6:12" x14ac:dyDescent="0.25">
      <c r="F23" s="1">
        <v>42551</v>
      </c>
      <c r="G23" t="s">
        <v>67</v>
      </c>
      <c r="H23" s="1"/>
      <c r="I23" s="6">
        <v>0.49</v>
      </c>
    </row>
    <row r="24" spans="6:12" x14ac:dyDescent="0.25">
      <c r="G24" s="11" t="s">
        <v>18</v>
      </c>
    </row>
    <row r="25" spans="6:12" x14ac:dyDescent="0.25">
      <c r="G25" s="11" t="s">
        <v>19</v>
      </c>
    </row>
    <row r="26" spans="6:12" x14ac:dyDescent="0.25">
      <c r="G26" s="11" t="s">
        <v>20</v>
      </c>
      <c r="J26" s="6">
        <f>I27</f>
        <v>287</v>
      </c>
      <c r="L26" s="5"/>
    </row>
    <row r="27" spans="6:12" x14ac:dyDescent="0.25">
      <c r="F27" s="1"/>
      <c r="I27" s="6">
        <v>287</v>
      </c>
    </row>
    <row r="28" spans="6:12" x14ac:dyDescent="0.25">
      <c r="F28" s="1"/>
    </row>
    <row r="29" spans="6:12" x14ac:dyDescent="0.25">
      <c r="F29" s="1"/>
    </row>
    <row r="30" spans="6:12" x14ac:dyDescent="0.25">
      <c r="F30" s="1"/>
      <c r="H30" s="1"/>
    </row>
    <row r="31" spans="6:12" x14ac:dyDescent="0.25">
      <c r="F31" s="1"/>
      <c r="H31" s="1" t="s">
        <v>56</v>
      </c>
    </row>
    <row r="32" spans="6:12" x14ac:dyDescent="0.25">
      <c r="F32" s="1"/>
      <c r="H32" s="1"/>
    </row>
    <row r="33" spans="5:19" x14ac:dyDescent="0.25">
      <c r="L33" s="5">
        <f>SUM(K35:K38)</f>
        <v>779.98</v>
      </c>
    </row>
    <row r="34" spans="5:19" x14ac:dyDescent="0.25">
      <c r="G34" s="8" t="s">
        <v>21</v>
      </c>
      <c r="H34" s="8" t="s">
        <v>22</v>
      </c>
      <c r="I34" s="7"/>
      <c r="J34" s="7"/>
      <c r="K34" s="10"/>
      <c r="L34" s="8"/>
      <c r="M34" s="8" t="s">
        <v>23</v>
      </c>
      <c r="N34" s="8" t="s">
        <v>24</v>
      </c>
      <c r="O34" s="8"/>
      <c r="P34" s="8" t="s">
        <v>25</v>
      </c>
      <c r="Q34" s="8"/>
      <c r="R34" s="8" t="s">
        <v>30</v>
      </c>
      <c r="S34" s="8" t="s">
        <v>35</v>
      </c>
    </row>
    <row r="35" spans="5:19" x14ac:dyDescent="0.25">
      <c r="E35" t="s">
        <v>68</v>
      </c>
      <c r="F35" s="1"/>
      <c r="G35" t="s">
        <v>27</v>
      </c>
      <c r="H35" t="s">
        <v>69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 x14ac:dyDescent="0.25">
      <c r="E36" t="s">
        <v>70</v>
      </c>
      <c r="F36" s="1"/>
      <c r="G36" t="s">
        <v>32</v>
      </c>
      <c r="H36" t="s">
        <v>71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 x14ac:dyDescent="0.25">
      <c r="E37" t="s">
        <v>72</v>
      </c>
      <c r="F37" s="1"/>
      <c r="G37" t="s">
        <v>23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 x14ac:dyDescent="0.25">
      <c r="E38" t="s">
        <v>73</v>
      </c>
      <c r="F38" s="1"/>
      <c r="G38" t="s">
        <v>23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 x14ac:dyDescent="0.25">
      <c r="F39" s="1"/>
    </row>
    <row r="43" spans="5:19" x14ac:dyDescent="0.25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J4" s="6">
        <f>J21</f>
        <v>3483.9399999999996</v>
      </c>
      <c r="M4" s="4"/>
    </row>
    <row r="5" spans="6:13" x14ac:dyDescent="0.25">
      <c r="G5" s="11" t="s">
        <v>13</v>
      </c>
      <c r="I5" s="2"/>
      <c r="J5" s="2"/>
      <c r="L5" s="5">
        <f>SUM(L18:L39)</f>
        <v>2989.47</v>
      </c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J7" s="6">
        <f>J4-L5</f>
        <v>494.4699999999998</v>
      </c>
      <c r="M7" s="5"/>
    </row>
    <row r="12" spans="6:13" x14ac:dyDescent="0.25">
      <c r="G12" s="11" t="s">
        <v>29</v>
      </c>
    </row>
    <row r="13" spans="6:13" x14ac:dyDescent="0.25">
      <c r="F13" s="1"/>
      <c r="H13" s="1" t="s">
        <v>52</v>
      </c>
    </row>
    <row r="14" spans="6:13" x14ac:dyDescent="0.25">
      <c r="F14" s="1"/>
      <c r="H14" s="1" t="s">
        <v>52</v>
      </c>
    </row>
    <row r="15" spans="6:13" x14ac:dyDescent="0.25">
      <c r="F15" s="1"/>
      <c r="H15" s="1" t="s">
        <v>52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>
        <f>19</f>
        <v>19</v>
      </c>
    </row>
    <row r="19" spans="6:12" x14ac:dyDescent="0.25">
      <c r="F19" s="1">
        <v>42556</v>
      </c>
      <c r="G19" s="1" t="s">
        <v>53</v>
      </c>
      <c r="H19" s="1" t="s">
        <v>53</v>
      </c>
      <c r="K19" s="9">
        <v>19</v>
      </c>
    </row>
    <row r="20" spans="6:12" x14ac:dyDescent="0.25">
      <c r="F20" s="1"/>
      <c r="H20" s="1"/>
    </row>
    <row r="21" spans="6:12" x14ac:dyDescent="0.25">
      <c r="G21" s="11" t="s">
        <v>17</v>
      </c>
      <c r="J21" s="6">
        <f>SUM(I22:I28)</f>
        <v>3483.9399999999996</v>
      </c>
    </row>
    <row r="22" spans="6:12" x14ac:dyDescent="0.25">
      <c r="F22" s="1">
        <v>42552</v>
      </c>
      <c r="G22" s="12"/>
      <c r="H22" s="1"/>
      <c r="I22" s="6">
        <v>383.64</v>
      </c>
    </row>
    <row r="23" spans="6:12" x14ac:dyDescent="0.25">
      <c r="F23" s="1">
        <v>42552</v>
      </c>
      <c r="H23" s="1"/>
      <c r="I23" s="6">
        <v>72.349999999999994</v>
      </c>
    </row>
    <row r="24" spans="6:12" x14ac:dyDescent="0.25">
      <c r="F24" s="1">
        <v>42556</v>
      </c>
      <c r="H24" s="1"/>
      <c r="I24" s="6">
        <v>1433.98</v>
      </c>
    </row>
    <row r="25" spans="6:12" x14ac:dyDescent="0.25">
      <c r="F25" s="1">
        <v>42556</v>
      </c>
      <c r="H25" s="1"/>
      <c r="I25" s="6">
        <v>845.81</v>
      </c>
    </row>
    <row r="26" spans="6:12" x14ac:dyDescent="0.25">
      <c r="F26" s="1">
        <v>42556</v>
      </c>
      <c r="H26" s="1"/>
      <c r="I26" s="6">
        <v>73.349999999999994</v>
      </c>
    </row>
    <row r="27" spans="6:12" x14ac:dyDescent="0.25">
      <c r="F27" s="1">
        <v>42556</v>
      </c>
      <c r="H27" s="1"/>
      <c r="I27" s="6">
        <v>31.12</v>
      </c>
    </row>
    <row r="28" spans="6:12" x14ac:dyDescent="0.25">
      <c r="F28" s="1">
        <v>42557</v>
      </c>
      <c r="H28" s="1"/>
      <c r="I28" s="6">
        <v>643.69000000000005</v>
      </c>
    </row>
    <row r="29" spans="6:12" x14ac:dyDescent="0.25">
      <c r="F29" s="1"/>
      <c r="H29" s="1"/>
    </row>
    <row r="30" spans="6:12" x14ac:dyDescent="0.25">
      <c r="G30" s="11" t="s">
        <v>18</v>
      </c>
    </row>
    <row r="31" spans="6:12" x14ac:dyDescent="0.25">
      <c r="G31" s="11" t="s">
        <v>19</v>
      </c>
    </row>
    <row r="32" spans="6:12" x14ac:dyDescent="0.25">
      <c r="G32" s="11" t="s">
        <v>20</v>
      </c>
      <c r="L32" s="5">
        <f>SUM(K33:K35)</f>
        <v>2470.4699999999998</v>
      </c>
    </row>
    <row r="33" spans="5:19" x14ac:dyDescent="0.25">
      <c r="F33" s="1">
        <v>42551</v>
      </c>
      <c r="G33" s="12" t="s">
        <v>74</v>
      </c>
      <c r="K33" s="9">
        <v>5</v>
      </c>
    </row>
    <row r="34" spans="5:19" x14ac:dyDescent="0.25">
      <c r="F34" s="1">
        <v>42552</v>
      </c>
      <c r="G34" s="12" t="s">
        <v>74</v>
      </c>
      <c r="K34" s="9">
        <v>5</v>
      </c>
    </row>
    <row r="35" spans="5:19" x14ac:dyDescent="0.25">
      <c r="F35" s="1">
        <v>42558</v>
      </c>
      <c r="G35" s="11" t="s">
        <v>75</v>
      </c>
      <c r="K35" s="9">
        <v>2460.4699999999998</v>
      </c>
    </row>
    <row r="36" spans="5:19" x14ac:dyDescent="0.25">
      <c r="F36" s="1"/>
      <c r="H36" s="1"/>
    </row>
    <row r="37" spans="5:19" x14ac:dyDescent="0.25">
      <c r="F37" s="1"/>
      <c r="H37" s="1" t="s">
        <v>56</v>
      </c>
    </row>
    <row r="38" spans="5:19" x14ac:dyDescent="0.25">
      <c r="F38" s="1"/>
      <c r="H38" s="1"/>
    </row>
    <row r="39" spans="5:19" x14ac:dyDescent="0.25">
      <c r="G39" t="s">
        <v>76</v>
      </c>
      <c r="L39" s="5">
        <f>K41</f>
        <v>500</v>
      </c>
    </row>
    <row r="40" spans="5:19" x14ac:dyDescent="0.25">
      <c r="G40" s="8" t="s">
        <v>21</v>
      </c>
      <c r="H40" s="8" t="s">
        <v>22</v>
      </c>
      <c r="I40" s="7"/>
      <c r="J40" s="7"/>
      <c r="K40" s="10"/>
      <c r="L40" s="8"/>
      <c r="M40" s="8" t="s">
        <v>23</v>
      </c>
      <c r="N40" s="8" t="s">
        <v>24</v>
      </c>
      <c r="O40" s="8"/>
      <c r="P40" s="8" t="s">
        <v>25</v>
      </c>
      <c r="Q40" s="8"/>
      <c r="R40" s="8" t="s">
        <v>30</v>
      </c>
      <c r="S40" s="8" t="s">
        <v>35</v>
      </c>
    </row>
    <row r="41" spans="5:19" x14ac:dyDescent="0.25">
      <c r="E41" t="s">
        <v>77</v>
      </c>
      <c r="F41" s="1"/>
      <c r="G41" t="s">
        <v>78</v>
      </c>
      <c r="H41" t="s">
        <v>79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 x14ac:dyDescent="0.25">
      <c r="F42" s="1"/>
      <c r="M42" s="9"/>
      <c r="N42" s="9"/>
      <c r="O42" s="9"/>
      <c r="P42" s="9"/>
      <c r="Q42" s="9"/>
      <c r="R42" s="9"/>
      <c r="S42" s="9"/>
    </row>
    <row r="43" spans="5:19" x14ac:dyDescent="0.25">
      <c r="F43" s="1"/>
      <c r="G43" t="s">
        <v>222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 x14ac:dyDescent="0.25">
      <c r="F44" s="1"/>
      <c r="S44" s="9"/>
    </row>
    <row r="45" spans="5:19" x14ac:dyDescent="0.25">
      <c r="F45" s="1"/>
    </row>
    <row r="49" spans="6:10" x14ac:dyDescent="0.25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 x14ac:dyDescent="0.2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 x14ac:dyDescent="0.25">
      <c r="G4" s="11" t="s">
        <v>12</v>
      </c>
      <c r="M4" s="4"/>
    </row>
    <row r="5" spans="6:13" x14ac:dyDescent="0.25">
      <c r="G5" s="11" t="s">
        <v>13</v>
      </c>
      <c r="I5" s="2"/>
      <c r="J5" s="2"/>
      <c r="L5" s="5"/>
      <c r="M5" s="5"/>
    </row>
    <row r="6" spans="6:13" x14ac:dyDescent="0.25">
      <c r="G6" s="11"/>
      <c r="I6" s="2"/>
      <c r="J6" s="2"/>
      <c r="M6" s="5"/>
    </row>
    <row r="7" spans="6:13" x14ac:dyDescent="0.25">
      <c r="G7" s="11" t="s">
        <v>14</v>
      </c>
      <c r="M7" s="5"/>
    </row>
    <row r="12" spans="6:13" x14ac:dyDescent="0.25">
      <c r="G12" s="11" t="s">
        <v>29</v>
      </c>
    </row>
    <row r="13" spans="6:13" x14ac:dyDescent="0.25">
      <c r="F13" s="1"/>
      <c r="H13" s="1" t="s">
        <v>52</v>
      </c>
    </row>
    <row r="14" spans="6:13" x14ac:dyDescent="0.25">
      <c r="F14" s="1"/>
      <c r="H14" s="1" t="s">
        <v>52</v>
      </c>
    </row>
    <row r="15" spans="6:13" x14ac:dyDescent="0.25">
      <c r="F15" s="1"/>
      <c r="H15" s="1" t="s">
        <v>52</v>
      </c>
    </row>
    <row r="16" spans="6:13" x14ac:dyDescent="0.25">
      <c r="F16" s="1"/>
    </row>
    <row r="17" spans="6:12" x14ac:dyDescent="0.25">
      <c r="G17" s="11" t="s">
        <v>15</v>
      </c>
    </row>
    <row r="18" spans="6:12" x14ac:dyDescent="0.25">
      <c r="G18" s="11" t="s">
        <v>16</v>
      </c>
      <c r="L18" s="5"/>
    </row>
    <row r="19" spans="6:12" x14ac:dyDescent="0.25">
      <c r="F19" s="1"/>
      <c r="G19" s="1" t="s">
        <v>53</v>
      </c>
      <c r="H19" s="1" t="s">
        <v>53</v>
      </c>
    </row>
    <row r="20" spans="6:12" x14ac:dyDescent="0.25">
      <c r="F20" s="1"/>
      <c r="H20" s="1"/>
    </row>
    <row r="21" spans="6:12" x14ac:dyDescent="0.25">
      <c r="G21" s="11" t="s">
        <v>17</v>
      </c>
    </row>
    <row r="22" spans="6:12" x14ac:dyDescent="0.25">
      <c r="F22" s="1"/>
      <c r="G22" s="12"/>
      <c r="H22" s="1"/>
    </row>
    <row r="23" spans="6:12" x14ac:dyDescent="0.25">
      <c r="F23" s="1"/>
      <c r="H23" s="1"/>
    </row>
    <row r="24" spans="6:12" x14ac:dyDescent="0.25">
      <c r="F24" s="1"/>
      <c r="H24" s="1"/>
    </row>
    <row r="25" spans="6:12" x14ac:dyDescent="0.25">
      <c r="F25" s="1"/>
      <c r="H25" s="1"/>
    </row>
    <row r="26" spans="6:12" x14ac:dyDescent="0.25">
      <c r="F26" s="1"/>
      <c r="H26" s="1"/>
    </row>
    <row r="27" spans="6:12" x14ac:dyDescent="0.25">
      <c r="F27" s="1"/>
      <c r="H27" s="1"/>
    </row>
    <row r="28" spans="6:12" x14ac:dyDescent="0.25">
      <c r="F28" s="1"/>
      <c r="H28" s="1"/>
    </row>
    <row r="29" spans="6:12" x14ac:dyDescent="0.25">
      <c r="F29" s="1"/>
      <c r="H29" s="1"/>
    </row>
    <row r="30" spans="6:12" x14ac:dyDescent="0.25">
      <c r="G30" s="11" t="s">
        <v>18</v>
      </c>
    </row>
    <row r="31" spans="6:12" x14ac:dyDescent="0.25">
      <c r="G31" s="11" t="s">
        <v>19</v>
      </c>
    </row>
    <row r="32" spans="6:12" x14ac:dyDescent="0.25">
      <c r="G32" s="11" t="s">
        <v>20</v>
      </c>
      <c r="L32" s="5"/>
    </row>
    <row r="33" spans="5:19" x14ac:dyDescent="0.25">
      <c r="F33" s="1"/>
      <c r="G33" s="12" t="s">
        <v>74</v>
      </c>
    </row>
    <row r="34" spans="5:19" x14ac:dyDescent="0.25">
      <c r="F34" s="1"/>
      <c r="G34" s="12" t="s">
        <v>74</v>
      </c>
    </row>
    <row r="35" spans="5:19" x14ac:dyDescent="0.25">
      <c r="F35" s="1"/>
      <c r="G35" s="11" t="s">
        <v>75</v>
      </c>
    </row>
    <row r="36" spans="5:19" x14ac:dyDescent="0.25">
      <c r="F36" s="1"/>
      <c r="H36" s="1"/>
    </row>
    <row r="37" spans="5:19" x14ac:dyDescent="0.25">
      <c r="F37" s="1"/>
      <c r="H37" s="1" t="s">
        <v>56</v>
      </c>
    </row>
    <row r="38" spans="5:19" x14ac:dyDescent="0.25">
      <c r="F38" s="1"/>
      <c r="H38" s="1"/>
    </row>
    <row r="39" spans="5:19" x14ac:dyDescent="0.25">
      <c r="G39" t="s">
        <v>76</v>
      </c>
      <c r="L39" s="5"/>
    </row>
    <row r="40" spans="5:19" x14ac:dyDescent="0.25">
      <c r="G40" s="8" t="s">
        <v>21</v>
      </c>
      <c r="H40" s="8" t="s">
        <v>22</v>
      </c>
      <c r="I40" s="7"/>
      <c r="J40" s="7"/>
      <c r="K40" s="10"/>
      <c r="L40" s="8" t="s">
        <v>170</v>
      </c>
      <c r="M40" s="8" t="s">
        <v>23</v>
      </c>
      <c r="N40" s="8" t="s">
        <v>24</v>
      </c>
      <c r="O40" s="8"/>
      <c r="P40" s="8" t="s">
        <v>25</v>
      </c>
      <c r="Q40" s="8"/>
      <c r="R40" s="8" t="s">
        <v>30</v>
      </c>
      <c r="S40" s="8" t="s">
        <v>35</v>
      </c>
    </row>
    <row r="41" spans="5:19" x14ac:dyDescent="0.25">
      <c r="E41" t="s">
        <v>102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 x14ac:dyDescent="0.25">
      <c r="F42" s="1"/>
      <c r="M42" s="9"/>
      <c r="N42" s="9"/>
      <c r="O42" s="9"/>
      <c r="P42" s="9"/>
      <c r="Q42" s="9"/>
      <c r="R42" s="9"/>
      <c r="S42" s="9"/>
    </row>
    <row r="43" spans="5:19" x14ac:dyDescent="0.25">
      <c r="F43" s="1"/>
      <c r="M43" s="9"/>
      <c r="N43" s="9"/>
      <c r="O43" s="9"/>
      <c r="P43" s="9"/>
      <c r="Q43" s="9"/>
      <c r="R43" s="9"/>
      <c r="S43" s="9"/>
    </row>
    <row r="44" spans="5:19" x14ac:dyDescent="0.25">
      <c r="F44" s="1"/>
      <c r="M44" s="9"/>
      <c r="N44" s="9"/>
      <c r="O44" s="9"/>
      <c r="P44" s="9"/>
      <c r="Q44" s="9"/>
      <c r="R44" s="9"/>
      <c r="S44" s="9"/>
    </row>
    <row r="45" spans="5:19" x14ac:dyDescent="0.25">
      <c r="F45" s="1"/>
    </row>
    <row r="46" spans="5:19" x14ac:dyDescent="0.25">
      <c r="G46" t="s">
        <v>163</v>
      </c>
    </row>
    <row r="47" spans="5:19" x14ac:dyDescent="0.25">
      <c r="G47" s="8" t="s">
        <v>21</v>
      </c>
      <c r="H47" s="8" t="s">
        <v>22</v>
      </c>
      <c r="I47" s="7"/>
      <c r="J47" s="7"/>
      <c r="K47" s="10"/>
      <c r="L47" s="8" t="s">
        <v>170</v>
      </c>
      <c r="M47" s="8" t="s">
        <v>23</v>
      </c>
      <c r="N47" s="8" t="s">
        <v>24</v>
      </c>
      <c r="O47" s="8" t="s">
        <v>167</v>
      </c>
      <c r="P47" s="8" t="s">
        <v>135</v>
      </c>
      <c r="Q47" s="8"/>
      <c r="R47" s="8" t="s">
        <v>30</v>
      </c>
      <c r="S47" s="8" t="s">
        <v>35</v>
      </c>
    </row>
    <row r="48" spans="5:19" x14ac:dyDescent="0.25">
      <c r="F48" s="1">
        <v>42590</v>
      </c>
      <c r="G48" t="s">
        <v>164</v>
      </c>
      <c r="H48" t="s">
        <v>165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 x14ac:dyDescent="0.25">
      <c r="F49" s="1">
        <v>42592</v>
      </c>
      <c r="G49" t="s">
        <v>164</v>
      </c>
      <c r="H49" t="s">
        <v>165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 x14ac:dyDescent="0.25">
      <c r="G50" t="s">
        <v>164</v>
      </c>
      <c r="H50" t="s">
        <v>165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 x14ac:dyDescent="0.25">
      <c r="G51" t="s">
        <v>166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 x14ac:dyDescent="0.25">
      <c r="G52" t="s">
        <v>164</v>
      </c>
      <c r="H52" t="s">
        <v>165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 x14ac:dyDescent="0.25">
      <c r="G53" t="s">
        <v>168</v>
      </c>
      <c r="H53" t="s">
        <v>169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 x14ac:dyDescent="0.25">
      <c r="G54" t="s">
        <v>164</v>
      </c>
      <c r="H54" t="s">
        <v>165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 x14ac:dyDescent="0.25">
      <c r="G55" t="s">
        <v>164</v>
      </c>
      <c r="H55" t="s">
        <v>165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 x14ac:dyDescent="0.25">
      <c r="G56" t="s">
        <v>171</v>
      </c>
      <c r="H56" t="s">
        <v>172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 x14ac:dyDescent="0.25">
      <c r="F57" s="1">
        <v>42611</v>
      </c>
      <c r="G57" t="s">
        <v>164</v>
      </c>
      <c r="H57" t="s">
        <v>165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 x14ac:dyDescent="0.25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 x14ac:dyDescent="0.25">
      <c r="G59" t="s">
        <v>223</v>
      </c>
      <c r="H59" t="s">
        <v>224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 x14ac:dyDescent="0.25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 x14ac:dyDescent="0.25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 x14ac:dyDescent="0.25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 x14ac:dyDescent="0.25">
      <c r="G4" t="s">
        <v>12</v>
      </c>
      <c r="I4" s="6">
        <f>SUM(I13:I18)</f>
        <v>2300</v>
      </c>
    </row>
    <row r="5" spans="7:18" x14ac:dyDescent="0.25">
      <c r="G5" t="s">
        <v>13</v>
      </c>
      <c r="I5" s="2"/>
      <c r="J5" s="9">
        <f>SUM(J13:J18)</f>
        <v>910.1</v>
      </c>
      <c r="L5" s="9"/>
      <c r="M5" s="9"/>
      <c r="N5" s="9"/>
      <c r="R5" s="9"/>
    </row>
    <row r="6" spans="7:18" x14ac:dyDescent="0.25">
      <c r="I6" s="2"/>
      <c r="L6" s="9"/>
      <c r="M6" s="9"/>
      <c r="N6" s="9"/>
      <c r="R6" s="9"/>
    </row>
    <row r="7" spans="7:18" x14ac:dyDescent="0.25">
      <c r="G7" t="s">
        <v>14</v>
      </c>
      <c r="I7" s="5">
        <f>I4-J5</f>
        <v>1389.9</v>
      </c>
      <c r="L7" s="9"/>
      <c r="M7" s="9"/>
      <c r="N7" s="9"/>
      <c r="R7" s="9"/>
    </row>
    <row r="13" spans="7:18" x14ac:dyDescent="0.25">
      <c r="G13" t="s">
        <v>80</v>
      </c>
    </row>
    <row r="14" spans="7:18" x14ac:dyDescent="0.25">
      <c r="G14" t="s">
        <v>16</v>
      </c>
      <c r="J14" s="9">
        <v>208.62</v>
      </c>
    </row>
    <row r="15" spans="7:18" x14ac:dyDescent="0.25">
      <c r="G15" t="s">
        <v>17</v>
      </c>
      <c r="I15" s="6">
        <v>2300</v>
      </c>
    </row>
    <row r="16" spans="7:18" x14ac:dyDescent="0.25">
      <c r="G16" t="s">
        <v>18</v>
      </c>
      <c r="J16" s="9">
        <f>J28</f>
        <v>0</v>
      </c>
    </row>
    <row r="17" spans="5:22" x14ac:dyDescent="0.25">
      <c r="G17" t="s">
        <v>19</v>
      </c>
      <c r="J17" s="9">
        <v>644.48</v>
      </c>
    </row>
    <row r="18" spans="5:22" x14ac:dyDescent="0.25">
      <c r="G18" t="s">
        <v>81</v>
      </c>
      <c r="J18" s="9">
        <v>57</v>
      </c>
    </row>
    <row r="21" spans="5:22" x14ac:dyDescent="0.25">
      <c r="G21" t="s">
        <v>21</v>
      </c>
    </row>
    <row r="22" spans="5:22" x14ac:dyDescent="0.25">
      <c r="G22" s="8" t="s">
        <v>21</v>
      </c>
      <c r="H22" s="8" t="s">
        <v>22</v>
      </c>
      <c r="I22" s="7"/>
      <c r="J22" s="10"/>
      <c r="K22" s="10"/>
      <c r="L22" s="10" t="s">
        <v>107</v>
      </c>
      <c r="M22" s="10" t="s">
        <v>115</v>
      </c>
      <c r="N22" s="8" t="s">
        <v>170</v>
      </c>
      <c r="O22" s="10" t="s">
        <v>23</v>
      </c>
      <c r="P22" s="10" t="s">
        <v>24</v>
      </c>
      <c r="Q22" s="8" t="s">
        <v>167</v>
      </c>
      <c r="R22" s="10" t="s">
        <v>98</v>
      </c>
      <c r="S22" s="8" t="s">
        <v>135</v>
      </c>
      <c r="T22" s="10"/>
      <c r="U22" s="10" t="s">
        <v>30</v>
      </c>
      <c r="V22" s="10" t="s">
        <v>35</v>
      </c>
    </row>
    <row r="23" spans="5:22" x14ac:dyDescent="0.25">
      <c r="F23" s="1"/>
    </row>
    <row r="24" spans="5:22" x14ac:dyDescent="0.25">
      <c r="F24" s="1"/>
    </row>
    <row r="25" spans="5:22" x14ac:dyDescent="0.25">
      <c r="F25" s="1"/>
    </row>
    <row r="28" spans="5:22" x14ac:dyDescent="0.25">
      <c r="J28" s="9">
        <f>SUM(J23:J26)</f>
        <v>0</v>
      </c>
    </row>
    <row r="31" spans="5:22" x14ac:dyDescent="0.25">
      <c r="E31" t="s">
        <v>104</v>
      </c>
      <c r="F31" s="1">
        <v>42620</v>
      </c>
      <c r="G31" t="s">
        <v>103</v>
      </c>
      <c r="H31" t="s">
        <v>106</v>
      </c>
      <c r="J31" s="9">
        <v>239.94</v>
      </c>
      <c r="O31" s="13">
        <f>J31</f>
        <v>239.94</v>
      </c>
    </row>
    <row r="32" spans="5:22" x14ac:dyDescent="0.25">
      <c r="E32" t="s">
        <v>108</v>
      </c>
      <c r="F32" s="1">
        <v>42630</v>
      </c>
      <c r="G32" t="s">
        <v>105</v>
      </c>
      <c r="H32" t="s">
        <v>85</v>
      </c>
      <c r="J32" s="9">
        <v>2000</v>
      </c>
      <c r="L32" s="13">
        <f>J32</f>
        <v>2000</v>
      </c>
    </row>
    <row r="33" spans="4:22" x14ac:dyDescent="0.25">
      <c r="E33" t="s">
        <v>109</v>
      </c>
      <c r="F33" s="1">
        <v>42635</v>
      </c>
      <c r="G33" t="s">
        <v>111</v>
      </c>
      <c r="H33" t="s">
        <v>112</v>
      </c>
      <c r="J33" s="9">
        <v>213</v>
      </c>
      <c r="S33" s="13">
        <f>J33</f>
        <v>213</v>
      </c>
    </row>
    <row r="34" spans="4:22" x14ac:dyDescent="0.25">
      <c r="E34" t="s">
        <v>110</v>
      </c>
      <c r="F34" s="1">
        <v>42637</v>
      </c>
      <c r="G34" t="s">
        <v>113</v>
      </c>
      <c r="H34" t="s">
        <v>114</v>
      </c>
      <c r="I34" s="2"/>
      <c r="J34" s="9">
        <v>1084.17</v>
      </c>
      <c r="M34" s="13">
        <f>J34</f>
        <v>1084.17</v>
      </c>
    </row>
    <row r="35" spans="4:22" x14ac:dyDescent="0.25">
      <c r="E35" t="s">
        <v>116</v>
      </c>
      <c r="F35" s="1">
        <v>42638</v>
      </c>
      <c r="G35" t="s">
        <v>103</v>
      </c>
      <c r="H35" t="s">
        <v>106</v>
      </c>
      <c r="J35" s="9">
        <v>102.16</v>
      </c>
      <c r="O35" s="13">
        <f>J35</f>
        <v>102.16</v>
      </c>
    </row>
    <row r="36" spans="4:22" x14ac:dyDescent="0.25">
      <c r="E36" t="s">
        <v>117</v>
      </c>
      <c r="F36" s="1">
        <v>42639</v>
      </c>
      <c r="G36" t="s">
        <v>119</v>
      </c>
      <c r="J36" s="9">
        <v>74.48</v>
      </c>
      <c r="S36" s="13">
        <f>J36</f>
        <v>74.48</v>
      </c>
    </row>
    <row r="37" spans="4:22" x14ac:dyDescent="0.25">
      <c r="F37" s="1"/>
    </row>
    <row r="39" spans="4:22" x14ac:dyDescent="0.25">
      <c r="G39" t="s">
        <v>163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 x14ac:dyDescent="0.25">
      <c r="G40" s="8" t="s">
        <v>21</v>
      </c>
      <c r="H40" s="8" t="s">
        <v>22</v>
      </c>
      <c r="I40" s="7"/>
      <c r="J40" s="7"/>
      <c r="K40" s="8"/>
      <c r="L40" s="10" t="s">
        <v>107</v>
      </c>
      <c r="M40" s="8" t="s">
        <v>115</v>
      </c>
      <c r="N40" s="8" t="s">
        <v>170</v>
      </c>
      <c r="O40" s="8" t="s">
        <v>23</v>
      </c>
      <c r="P40" s="8" t="s">
        <v>24</v>
      </c>
      <c r="Q40" s="8" t="s">
        <v>167</v>
      </c>
      <c r="R40" s="10" t="s">
        <v>98</v>
      </c>
      <c r="S40" s="8" t="s">
        <v>135</v>
      </c>
      <c r="U40" s="8" t="s">
        <v>30</v>
      </c>
      <c r="V40" s="8" t="s">
        <v>35</v>
      </c>
    </row>
    <row r="42" spans="4:22" x14ac:dyDescent="0.25">
      <c r="D42" t="s">
        <v>178</v>
      </c>
      <c r="F42" s="1">
        <v>42614</v>
      </c>
      <c r="G42" t="s">
        <v>173</v>
      </c>
      <c r="H42" t="s">
        <v>226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 x14ac:dyDescent="0.25">
      <c r="F43" s="1">
        <v>42614</v>
      </c>
      <c r="G43" t="s">
        <v>173</v>
      </c>
      <c r="H43" t="s">
        <v>225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 x14ac:dyDescent="0.25">
      <c r="F44" s="1">
        <v>42622</v>
      </c>
      <c r="G44" t="s">
        <v>173</v>
      </c>
      <c r="H44" t="s">
        <v>174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 x14ac:dyDescent="0.25">
      <c r="F45" s="1">
        <v>42629</v>
      </c>
      <c r="G45" t="s">
        <v>173</v>
      </c>
      <c r="H45" t="s">
        <v>227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 x14ac:dyDescent="0.25">
      <c r="F46" s="1">
        <v>42629</v>
      </c>
      <c r="G46" t="s">
        <v>173</v>
      </c>
      <c r="H46" t="s">
        <v>225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 x14ac:dyDescent="0.25">
      <c r="F47" s="1">
        <v>42636</v>
      </c>
      <c r="G47" t="s">
        <v>173</v>
      </c>
      <c r="H47" t="s">
        <v>174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 x14ac:dyDescent="0.25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 x14ac:dyDescent="0.25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 x14ac:dyDescent="0.25">
      <c r="G4" t="s">
        <v>12</v>
      </c>
      <c r="I4" s="6">
        <f>SUM(I13:I18)</f>
        <v>0</v>
      </c>
      <c r="L4" s="4"/>
    </row>
    <row r="5" spans="7:12" x14ac:dyDescent="0.25">
      <c r="G5" t="s">
        <v>13</v>
      </c>
      <c r="I5" s="2"/>
      <c r="J5" s="9">
        <f>SUM(J13:J18)</f>
        <v>793.1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-793.1</v>
      </c>
      <c r="L7" s="5"/>
    </row>
    <row r="12" spans="7:12" x14ac:dyDescent="0.25">
      <c r="G12" t="s">
        <v>82</v>
      </c>
      <c r="I12" s="6">
        <v>475.25</v>
      </c>
    </row>
    <row r="13" spans="7:12" x14ac:dyDescent="0.25">
      <c r="G13" t="s">
        <v>80</v>
      </c>
    </row>
    <row r="14" spans="7:12" x14ac:dyDescent="0.25">
      <c r="G14" t="s">
        <v>16</v>
      </c>
      <c r="J14" s="9">
        <v>97</v>
      </c>
    </row>
    <row r="15" spans="7:12" x14ac:dyDescent="0.25">
      <c r="G15" t="s">
        <v>17</v>
      </c>
    </row>
    <row r="16" spans="7:12" x14ac:dyDescent="0.25">
      <c r="G16" t="s">
        <v>18</v>
      </c>
      <c r="J16" s="9">
        <f>J28</f>
        <v>569.1</v>
      </c>
    </row>
    <row r="17" spans="4:22" x14ac:dyDescent="0.25">
      <c r="G17" t="s">
        <v>19</v>
      </c>
    </row>
    <row r="18" spans="4:22" x14ac:dyDescent="0.25">
      <c r="G18" t="s">
        <v>81</v>
      </c>
      <c r="J18" s="9">
        <v>127</v>
      </c>
    </row>
    <row r="22" spans="4:22" x14ac:dyDescent="0.25">
      <c r="G22" s="8" t="s">
        <v>21</v>
      </c>
      <c r="H22" s="8" t="s">
        <v>22</v>
      </c>
      <c r="I22" s="7"/>
      <c r="J22" s="10"/>
      <c r="K22" s="10"/>
      <c r="L22" s="8" t="s">
        <v>107</v>
      </c>
      <c r="M22" s="8" t="s">
        <v>115</v>
      </c>
      <c r="N22" s="8" t="s">
        <v>175</v>
      </c>
      <c r="O22" s="8" t="s">
        <v>23</v>
      </c>
      <c r="P22" s="8" t="s">
        <v>24</v>
      </c>
      <c r="Q22" s="8" t="s">
        <v>167</v>
      </c>
      <c r="R22" s="8"/>
      <c r="S22" s="8" t="s">
        <v>25</v>
      </c>
      <c r="T22" s="8" t="s">
        <v>135</v>
      </c>
      <c r="U22" s="8" t="s">
        <v>30</v>
      </c>
      <c r="V22" s="8" t="s">
        <v>35</v>
      </c>
    </row>
    <row r="23" spans="4:22" x14ac:dyDescent="0.25">
      <c r="E23" t="s">
        <v>118</v>
      </c>
      <c r="F23" s="1">
        <v>42655</v>
      </c>
      <c r="G23" t="s">
        <v>105</v>
      </c>
      <c r="H23" t="s">
        <v>120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 x14ac:dyDescent="0.25">
      <c r="E24" t="s">
        <v>121</v>
      </c>
      <c r="F24" s="1">
        <v>42659</v>
      </c>
      <c r="G24" t="s">
        <v>124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 x14ac:dyDescent="0.25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 x14ac:dyDescent="0.25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 x14ac:dyDescent="0.25">
      <c r="F27" s="1">
        <v>42646</v>
      </c>
      <c r="G27" t="s">
        <v>173</v>
      </c>
      <c r="H27" t="s">
        <v>228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 x14ac:dyDescent="0.25">
      <c r="F28" s="1">
        <v>42646</v>
      </c>
      <c r="G28" t="s">
        <v>173</v>
      </c>
      <c r="H28" t="s">
        <v>225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 x14ac:dyDescent="0.25">
      <c r="D29" t="s">
        <v>178</v>
      </c>
      <c r="F29" s="1">
        <v>42650</v>
      </c>
      <c r="G29" t="s">
        <v>173</v>
      </c>
      <c r="H29" t="s">
        <v>174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 x14ac:dyDescent="0.25">
      <c r="F30" s="1">
        <v>42654</v>
      </c>
      <c r="G30" t="s">
        <v>176</v>
      </c>
      <c r="H30" t="s">
        <v>55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 x14ac:dyDescent="0.25">
      <c r="F31" s="1">
        <v>42661</v>
      </c>
      <c r="G31" t="s">
        <v>173</v>
      </c>
      <c r="H31" t="s">
        <v>228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 x14ac:dyDescent="0.25">
      <c r="F32" s="1">
        <v>42661</v>
      </c>
      <c r="G32" t="s">
        <v>173</v>
      </c>
      <c r="H32" t="s">
        <v>225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 x14ac:dyDescent="0.25">
      <c r="F33" s="1">
        <v>42671</v>
      </c>
      <c r="G33" t="s">
        <v>177</v>
      </c>
      <c r="H33" t="s">
        <v>174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 x14ac:dyDescent="0.25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 x14ac:dyDescent="0.25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 x14ac:dyDescent="0.25">
      <c r="D36" t="s">
        <v>179</v>
      </c>
      <c r="F36" s="1">
        <v>42646</v>
      </c>
      <c r="G36" t="s">
        <v>180</v>
      </c>
      <c r="H36" t="s">
        <v>172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 x14ac:dyDescent="0.25">
      <c r="F37" s="1">
        <v>42646</v>
      </c>
      <c r="G37" t="s">
        <v>181</v>
      </c>
      <c r="H37" t="s">
        <v>182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 x14ac:dyDescent="0.25">
      <c r="F38" s="1">
        <v>42647</v>
      </c>
      <c r="G38" t="s">
        <v>164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 x14ac:dyDescent="0.25">
      <c r="F39" s="1">
        <v>42654</v>
      </c>
      <c r="G39" t="s">
        <v>183</v>
      </c>
      <c r="H39" t="s">
        <v>167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 x14ac:dyDescent="0.25">
      <c r="F40" s="1">
        <v>42660</v>
      </c>
      <c r="G40" t="s">
        <v>184</v>
      </c>
      <c r="H40" t="s">
        <v>185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 x14ac:dyDescent="0.25">
      <c r="F41" s="1">
        <v>42664</v>
      </c>
      <c r="G41" t="s">
        <v>186</v>
      </c>
      <c r="H41" t="s">
        <v>187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 x14ac:dyDescent="0.25">
      <c r="F42" s="1">
        <v>42664</v>
      </c>
      <c r="G42" t="s">
        <v>188</v>
      </c>
      <c r="H42" t="s">
        <v>185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 x14ac:dyDescent="0.25">
      <c r="F43" s="1">
        <v>42667</v>
      </c>
      <c r="G43" t="s">
        <v>189</v>
      </c>
      <c r="H43" t="s">
        <v>190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 x14ac:dyDescent="0.25">
      <c r="F44" s="1">
        <v>42667</v>
      </c>
      <c r="G44" t="s">
        <v>191</v>
      </c>
      <c r="H44" t="s">
        <v>192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 x14ac:dyDescent="0.25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 x14ac:dyDescent="0.25">
      <c r="G46" t="s">
        <v>193</v>
      </c>
      <c r="H46" t="s">
        <v>194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 x14ac:dyDescent="0.25">
      <c r="G47" t="s">
        <v>195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 x14ac:dyDescent="0.25">
      <c r="G48" t="s">
        <v>196</v>
      </c>
      <c r="H48" t="s">
        <v>91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 x14ac:dyDescent="0.25">
      <c r="G49" t="s">
        <v>197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 x14ac:dyDescent="0.25">
      <c r="G50" t="s">
        <v>198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 x14ac:dyDescent="0.25">
      <c r="G51" t="s">
        <v>199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 x14ac:dyDescent="0.25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 x14ac:dyDescent="0.25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 x14ac:dyDescent="0.25">
      <c r="G4" t="s">
        <v>12</v>
      </c>
      <c r="I4" s="6">
        <f>SUM(I13:I19)</f>
        <v>2406.3399999999997</v>
      </c>
      <c r="L4" s="4"/>
    </row>
    <row r="5" spans="7:12" x14ac:dyDescent="0.25">
      <c r="G5" t="s">
        <v>13</v>
      </c>
      <c r="I5" s="2"/>
      <c r="J5" s="9">
        <f>SUM(J13:J19)</f>
        <v>2205.2200000000003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201.11999999999944</v>
      </c>
      <c r="L7" s="5"/>
    </row>
    <row r="12" spans="7:12" x14ac:dyDescent="0.25">
      <c r="G12" t="s">
        <v>82</v>
      </c>
      <c r="I12" s="6">
        <v>100</v>
      </c>
    </row>
    <row r="13" spans="7:12" x14ac:dyDescent="0.25">
      <c r="G13" t="s">
        <v>80</v>
      </c>
      <c r="I13" s="6">
        <v>2236.41</v>
      </c>
    </row>
    <row r="14" spans="7:12" x14ac:dyDescent="0.25">
      <c r="G14" t="s">
        <v>83</v>
      </c>
      <c r="I14" s="6">
        <v>100</v>
      </c>
    </row>
    <row r="15" spans="7:12" x14ac:dyDescent="0.25">
      <c r="G15" t="s">
        <v>16</v>
      </c>
      <c r="J15" s="9">
        <v>1830.47</v>
      </c>
    </row>
    <row r="16" spans="7:12" x14ac:dyDescent="0.25">
      <c r="G16" t="s">
        <v>17</v>
      </c>
      <c r="I16" s="6">
        <v>69.930000000000007</v>
      </c>
    </row>
    <row r="17" spans="5:21" x14ac:dyDescent="0.25">
      <c r="G17" t="s">
        <v>18</v>
      </c>
      <c r="J17" s="9">
        <f>J29</f>
        <v>71.180000000000007</v>
      </c>
    </row>
    <row r="18" spans="5:21" x14ac:dyDescent="0.25">
      <c r="G18" t="s">
        <v>19</v>
      </c>
      <c r="J18" s="9">
        <v>6.57</v>
      </c>
    </row>
    <row r="19" spans="5:21" x14ac:dyDescent="0.25">
      <c r="G19" t="s">
        <v>81</v>
      </c>
      <c r="J19" s="9">
        <v>297</v>
      </c>
    </row>
    <row r="23" spans="5:21" x14ac:dyDescent="0.25">
      <c r="G23" s="8" t="s">
        <v>21</v>
      </c>
      <c r="H23" s="8" t="s">
        <v>22</v>
      </c>
      <c r="I23" s="7"/>
      <c r="J23" s="10"/>
      <c r="K23" s="10"/>
      <c r="L23" s="8" t="s">
        <v>107</v>
      </c>
      <c r="M23" s="8" t="s">
        <v>115</v>
      </c>
      <c r="N23" s="8" t="s">
        <v>167</v>
      </c>
      <c r="O23" s="8" t="s">
        <v>187</v>
      </c>
      <c r="P23" s="8" t="s">
        <v>23</v>
      </c>
      <c r="Q23" s="8" t="s">
        <v>24</v>
      </c>
      <c r="R23" s="8" t="s">
        <v>25</v>
      </c>
      <c r="S23" s="8" t="s">
        <v>135</v>
      </c>
      <c r="T23" s="8" t="s">
        <v>30</v>
      </c>
      <c r="U23" s="8" t="s">
        <v>35</v>
      </c>
    </row>
    <row r="24" spans="5:21" x14ac:dyDescent="0.25">
      <c r="E24" t="s">
        <v>122</v>
      </c>
      <c r="F24" s="1">
        <v>42684</v>
      </c>
      <c r="G24" t="s">
        <v>124</v>
      </c>
      <c r="H24" t="s">
        <v>125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 x14ac:dyDescent="0.25">
      <c r="E25" t="s">
        <v>123</v>
      </c>
      <c r="F25" s="1">
        <v>42689</v>
      </c>
      <c r="G25" t="s">
        <v>128</v>
      </c>
      <c r="H25" t="s">
        <v>106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 x14ac:dyDescent="0.25">
      <c r="E26" t="s">
        <v>126</v>
      </c>
      <c r="F26" s="1">
        <v>42689</v>
      </c>
      <c r="G26" t="s">
        <v>129</v>
      </c>
      <c r="H26" t="s">
        <v>130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 x14ac:dyDescent="0.25">
      <c r="E27" t="s">
        <v>127</v>
      </c>
      <c r="F27" s="1">
        <v>42689</v>
      </c>
      <c r="H27" t="s">
        <v>125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 x14ac:dyDescent="0.25">
      <c r="E28" t="s">
        <v>131</v>
      </c>
      <c r="F28" s="1">
        <v>42689</v>
      </c>
      <c r="G28" t="s">
        <v>134</v>
      </c>
      <c r="H28" t="s">
        <v>136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 x14ac:dyDescent="0.25">
      <c r="E29" t="s">
        <v>132</v>
      </c>
      <c r="F29" s="1">
        <v>42695</v>
      </c>
      <c r="G29" t="s">
        <v>129</v>
      </c>
      <c r="H29" t="s">
        <v>130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 x14ac:dyDescent="0.25">
      <c r="E30" t="s">
        <v>133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 x14ac:dyDescent="0.25">
      <c r="E31" t="s">
        <v>137</v>
      </c>
      <c r="F31" s="1">
        <v>42697</v>
      </c>
      <c r="G31" t="s">
        <v>139</v>
      </c>
      <c r="H31" t="s">
        <v>140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 x14ac:dyDescent="0.25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 x14ac:dyDescent="0.25">
      <c r="D33" t="s">
        <v>178</v>
      </c>
      <c r="F33" s="1">
        <v>42688</v>
      </c>
      <c r="G33" t="s">
        <v>200</v>
      </c>
      <c r="H33" t="s">
        <v>201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 x14ac:dyDescent="0.25">
      <c r="F34" s="1">
        <v>42690</v>
      </c>
      <c r="G34" t="s">
        <v>173</v>
      </c>
      <c r="H34" t="s">
        <v>228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 x14ac:dyDescent="0.25">
      <c r="F35" s="1">
        <v>42690</v>
      </c>
      <c r="G35" t="s">
        <v>173</v>
      </c>
      <c r="H35" t="s">
        <v>152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 x14ac:dyDescent="0.25">
      <c r="F36" s="1">
        <v>42699</v>
      </c>
      <c r="G36" t="s">
        <v>173</v>
      </c>
      <c r="H36" t="s">
        <v>202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 x14ac:dyDescent="0.25">
      <c r="G37" t="s">
        <v>203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 x14ac:dyDescent="0.25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 x14ac:dyDescent="0.25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 x14ac:dyDescent="0.25">
      <c r="D40" t="s">
        <v>204</v>
      </c>
      <c r="F40" s="1">
        <v>42675</v>
      </c>
      <c r="G40" t="s">
        <v>205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 x14ac:dyDescent="0.25">
      <c r="F41" s="1">
        <v>42677</v>
      </c>
      <c r="G41" t="s">
        <v>198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 x14ac:dyDescent="0.25">
      <c r="F42" s="1">
        <v>42677</v>
      </c>
      <c r="G42" t="s">
        <v>206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 x14ac:dyDescent="0.25">
      <c r="F43" s="1">
        <v>42681</v>
      </c>
      <c r="G43" t="s">
        <v>214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 x14ac:dyDescent="0.25">
      <c r="F44" s="1">
        <v>42681</v>
      </c>
      <c r="G44" t="s">
        <v>198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 x14ac:dyDescent="0.25">
      <c r="F45" s="1">
        <v>42683</v>
      </c>
      <c r="G45" t="s">
        <v>215</v>
      </c>
      <c r="H45" t="s">
        <v>216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 x14ac:dyDescent="0.25">
      <c r="F46" s="1">
        <v>42681</v>
      </c>
      <c r="G46" t="s">
        <v>198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 x14ac:dyDescent="0.25">
      <c r="F47" s="1">
        <v>42681</v>
      </c>
      <c r="G47" t="s">
        <v>217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 x14ac:dyDescent="0.25">
      <c r="F48" s="1">
        <v>42681</v>
      </c>
      <c r="G48" t="s">
        <v>218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 x14ac:dyDescent="0.25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 x14ac:dyDescent="0.25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 x14ac:dyDescent="0.2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 x14ac:dyDescent="0.25">
      <c r="G4" t="s">
        <v>12</v>
      </c>
      <c r="I4" s="6">
        <f>SUM(I12:I19)</f>
        <v>1326.74</v>
      </c>
      <c r="L4" s="4"/>
    </row>
    <row r="5" spans="7:12" x14ac:dyDescent="0.25">
      <c r="G5" t="s">
        <v>13</v>
      </c>
      <c r="I5" s="2"/>
      <c r="J5" s="9">
        <f>SUM(J12:J20)</f>
        <v>434.46</v>
      </c>
      <c r="L5" s="5"/>
    </row>
    <row r="6" spans="7:12" x14ac:dyDescent="0.25">
      <c r="I6" s="2"/>
      <c r="L6" s="5"/>
    </row>
    <row r="7" spans="7:12" x14ac:dyDescent="0.25">
      <c r="G7" t="s">
        <v>14</v>
      </c>
      <c r="I7" s="5">
        <f>I4-J5</f>
        <v>892.28</v>
      </c>
      <c r="L7" s="5"/>
    </row>
    <row r="12" spans="7:12" x14ac:dyDescent="0.25">
      <c r="G12" t="s">
        <v>82</v>
      </c>
      <c r="I12" s="6">
        <v>97</v>
      </c>
    </row>
    <row r="13" spans="7:12" x14ac:dyDescent="0.25">
      <c r="G13" t="s">
        <v>80</v>
      </c>
      <c r="I13" s="6">
        <v>1229.74</v>
      </c>
    </row>
    <row r="14" spans="7:12" x14ac:dyDescent="0.25">
      <c r="G14" t="s">
        <v>83</v>
      </c>
    </row>
    <row r="15" spans="7:12" x14ac:dyDescent="0.25">
      <c r="G15" t="s">
        <v>16</v>
      </c>
      <c r="J15" s="9">
        <v>5</v>
      </c>
    </row>
    <row r="16" spans="7:12" x14ac:dyDescent="0.25">
      <c r="G16" t="s">
        <v>17</v>
      </c>
    </row>
    <row r="17" spans="4:20" x14ac:dyDescent="0.25">
      <c r="G17" t="s">
        <v>18</v>
      </c>
      <c r="J17" s="9">
        <f>J25</f>
        <v>332.46</v>
      </c>
    </row>
    <row r="18" spans="4:20" x14ac:dyDescent="0.25">
      <c r="G18" t="s">
        <v>19</v>
      </c>
    </row>
    <row r="19" spans="4:20" x14ac:dyDescent="0.25">
      <c r="G19" t="s">
        <v>20</v>
      </c>
      <c r="J19" s="9">
        <v>97</v>
      </c>
    </row>
    <row r="23" spans="4:20" x14ac:dyDescent="0.25">
      <c r="G23" s="8" t="s">
        <v>21</v>
      </c>
      <c r="H23" s="8" t="s">
        <v>22</v>
      </c>
      <c r="I23" s="7"/>
      <c r="J23" s="10"/>
      <c r="K23" s="10"/>
      <c r="L23" s="8" t="s">
        <v>107</v>
      </c>
      <c r="M23" s="8" t="s">
        <v>115</v>
      </c>
      <c r="N23" s="8" t="s">
        <v>208</v>
      </c>
      <c r="O23" s="8" t="s">
        <v>23</v>
      </c>
      <c r="P23" s="8" t="s">
        <v>24</v>
      </c>
      <c r="Q23" s="8" t="s">
        <v>230</v>
      </c>
      <c r="R23" s="8" t="s">
        <v>135</v>
      </c>
      <c r="S23" s="8" t="s">
        <v>30</v>
      </c>
      <c r="T23" s="8" t="s">
        <v>35</v>
      </c>
    </row>
    <row r="24" spans="4:20" x14ac:dyDescent="0.25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 x14ac:dyDescent="0.25">
      <c r="E25" t="s">
        <v>138</v>
      </c>
      <c r="F25" s="1">
        <v>42706</v>
      </c>
      <c r="G25" t="s">
        <v>141</v>
      </c>
      <c r="H25" t="s">
        <v>143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 x14ac:dyDescent="0.25">
      <c r="E26" t="s">
        <v>142</v>
      </c>
      <c r="F26" s="1">
        <v>42707</v>
      </c>
      <c r="G26" t="s">
        <v>129</v>
      </c>
      <c r="H26" t="s">
        <v>130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 x14ac:dyDescent="0.25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 x14ac:dyDescent="0.25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 x14ac:dyDescent="0.25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 x14ac:dyDescent="0.25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 x14ac:dyDescent="0.25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 x14ac:dyDescent="0.25">
      <c r="D32" t="s">
        <v>178</v>
      </c>
      <c r="F32" s="1">
        <v>42705</v>
      </c>
      <c r="G32" t="s">
        <v>207</v>
      </c>
      <c r="H32" t="s">
        <v>208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 x14ac:dyDescent="0.25">
      <c r="F33" s="1">
        <v>42706</v>
      </c>
      <c r="G33" t="s">
        <v>209</v>
      </c>
      <c r="H33" t="s">
        <v>210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 x14ac:dyDescent="0.25">
      <c r="F34" s="1">
        <v>42706</v>
      </c>
      <c r="G34" t="s">
        <v>173</v>
      </c>
      <c r="H34" t="s">
        <v>229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 x14ac:dyDescent="0.25">
      <c r="F35" s="1">
        <v>42706</v>
      </c>
      <c r="G35" t="s">
        <v>173</v>
      </c>
      <c r="H35" t="s">
        <v>152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 x14ac:dyDescent="0.25">
      <c r="F36" s="1">
        <v>42713</v>
      </c>
      <c r="G36" t="s">
        <v>173</v>
      </c>
      <c r="H36" t="s">
        <v>210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 x14ac:dyDescent="0.25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 x14ac:dyDescent="0.25">
      <c r="F38" s="1">
        <v>42719</v>
      </c>
      <c r="G38" t="s">
        <v>207</v>
      </c>
      <c r="H38" t="s">
        <v>208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 x14ac:dyDescent="0.25">
      <c r="F39" s="1">
        <v>42723</v>
      </c>
      <c r="G39" t="s">
        <v>211</v>
      </c>
      <c r="H39" t="s">
        <v>229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 x14ac:dyDescent="0.25">
      <c r="F40" s="1">
        <v>42723</v>
      </c>
      <c r="G40" t="s">
        <v>211</v>
      </c>
      <c r="H40" t="s">
        <v>152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 x14ac:dyDescent="0.25">
      <c r="F41" s="1">
        <v>42727</v>
      </c>
      <c r="G41" t="s">
        <v>211</v>
      </c>
      <c r="H41" t="s">
        <v>210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 x14ac:dyDescent="0.25">
      <c r="F42" s="1">
        <v>42731</v>
      </c>
      <c r="G42" t="s">
        <v>212</v>
      </c>
      <c r="H42" t="s">
        <v>213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 x14ac:dyDescent="0.25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 x14ac:dyDescent="0.25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 x14ac:dyDescent="0.25"/>
  <cols>
    <col min="2" max="2" width="17.42578125" bestFit="1" customWidth="1"/>
  </cols>
  <sheetData>
    <row r="2" spans="2:2" x14ac:dyDescent="0.25">
      <c r="B2" t="s">
        <v>84</v>
      </c>
    </row>
    <row r="4" spans="2:2" x14ac:dyDescent="0.25">
      <c r="B4" t="s">
        <v>85</v>
      </c>
    </row>
    <row r="6" spans="2:2" x14ac:dyDescent="0.25">
      <c r="B6" t="s">
        <v>86</v>
      </c>
    </row>
    <row r="8" spans="2:2" x14ac:dyDescent="0.25">
      <c r="B8" t="s">
        <v>87</v>
      </c>
    </row>
    <row r="10" spans="2:2" x14ac:dyDescent="0.25">
      <c r="B10" t="s">
        <v>88</v>
      </c>
    </row>
    <row r="12" spans="2:2" x14ac:dyDescent="0.25">
      <c r="B12" t="s">
        <v>89</v>
      </c>
    </row>
    <row r="14" spans="2:2" x14ac:dyDescent="0.25">
      <c r="B14" t="s">
        <v>90</v>
      </c>
    </row>
    <row r="16" spans="2:2" x14ac:dyDescent="0.25">
      <c r="B16" t="s">
        <v>91</v>
      </c>
    </row>
    <row r="18" spans="2:2" x14ac:dyDescent="0.25">
      <c r="B18" t="s">
        <v>92</v>
      </c>
    </row>
    <row r="20" spans="2:2" x14ac:dyDescent="0.25">
      <c r="B20" t="s">
        <v>93</v>
      </c>
    </row>
    <row r="22" spans="2:2" x14ac:dyDescent="0.25">
      <c r="B22" t="s">
        <v>94</v>
      </c>
    </row>
    <row r="24" spans="2:2" x14ac:dyDescent="0.25">
      <c r="B24" t="s">
        <v>95</v>
      </c>
    </row>
    <row r="26" spans="2:2" x14ac:dyDescent="0.25">
      <c r="B26" t="s">
        <v>96</v>
      </c>
    </row>
    <row r="28" spans="2:2" x14ac:dyDescent="0.25">
      <c r="B28" t="s">
        <v>97</v>
      </c>
    </row>
    <row r="30" spans="2:2" x14ac:dyDescent="0.25">
      <c r="B30" t="s">
        <v>98</v>
      </c>
    </row>
    <row r="32" spans="2:2" x14ac:dyDescent="0.25">
      <c r="B32" t="s">
        <v>99</v>
      </c>
    </row>
    <row r="34" spans="2:2" x14ac:dyDescent="0.25">
      <c r="B34" t="s">
        <v>100</v>
      </c>
    </row>
    <row r="36" spans="2:2" x14ac:dyDescent="0.25">
      <c r="B36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6YDMQ6CUTPJ4-1427209179-570</_dlc_DocId>
    <_dlc_DocIdUrl xmlns="7dc771f6-da2e-4bd1-a70e-d17768d8552b">
      <Url>https://cloudbaud.sharepoint.com/sites/Accounting/Taxes/_layouts/15/DocIdRedir.aspx?ID=6YDMQ6CUTPJ4-1427209179-570</Url>
      <Description>6YDMQ6CUTPJ4-1427209179-570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C426D95-A96C-4CA3-8DF0-C496FB8C5C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FA526F-6579-4ED6-878B-2A8CB70A4718}"/>
</file>

<file path=customXml/itemProps3.xml><?xml version="1.0" encoding="utf-8"?>
<ds:datastoreItem xmlns:ds="http://schemas.openxmlformats.org/officeDocument/2006/customXml" ds:itemID="{C29EDC08-1CFC-4AE5-AEA1-445180B54A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EA787F-7853-48CC-9F92-7FA41B6DA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Jan</vt:lpstr>
      <vt:lpstr>Feb</vt:lpstr>
      <vt:lpstr>Mar</vt:lpstr>
      <vt:lpstr>April</vt:lpstr>
      <vt:lpstr>May</vt:lpstr>
      <vt:lpstr>June</vt:lpstr>
      <vt:lpstr>July</vt:lpstr>
      <vt:lpstr>Aug</vt:lpstr>
      <vt:lpstr>Sep</vt:lpstr>
      <vt:lpstr>Oct</vt:lpstr>
      <vt:lpstr>Nov</vt:lpstr>
      <vt:lpstr>Dec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CloudBaud, LLC. expenses</dc:title>
  <dc:subject>Federal Income Tax</dc:subject>
  <dc:creator>Jish Nath</dc:creator>
  <cp:keywords>2019</cp:keywords>
  <dc:description/>
  <cp:lastModifiedBy>Jish Nath</cp:lastModifiedBy>
  <cp:revision/>
  <dcterms:created xsi:type="dcterms:W3CDTF">2020-06-29T20:51:32Z</dcterms:created>
  <dcterms:modified xsi:type="dcterms:W3CDTF">2021-09-11T03:42:06Z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Order">
    <vt:r8>27100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dlc_DocIdItemGuid">
    <vt:lpwstr>dc903c6f-efe7-4f6c-a894-e5894713e114</vt:lpwstr>
  </property>
</Properties>
</file>