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ce6bd2de5d426f/Personal/Taxes/2020/"/>
    </mc:Choice>
  </mc:AlternateContent>
  <xr:revisionPtr revIDLastSave="63" documentId="13_ncr:40009_{58A15B6D-BAFB-49DA-87EB-0D7487F65A8A}" xr6:coauthVersionLast="45" xr6:coauthVersionMax="45" xr10:uidLastSave="{07C59A77-AE19-4B8B-AE56-64BC8831550F}"/>
  <bookViews>
    <workbookView xWindow="-28920" yWindow="-120" windowWidth="29040" windowHeight="15990" tabRatio="323" xr2:uid="{00000000-000D-0000-FFFF-FFFF00000000}"/>
  </bookViews>
  <sheets>
    <sheet name="Realized_Gain_Loss_Account_X86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" i="1" l="1"/>
  <c r="K150" i="1"/>
  <c r="K133" i="1"/>
  <c r="K126" i="1"/>
  <c r="K119" i="1" l="1"/>
  <c r="K109" i="1"/>
  <c r="K95" i="1"/>
  <c r="K18" i="1" l="1"/>
  <c r="K12" i="1"/>
  <c r="K5" i="1"/>
  <c r="K3" i="1"/>
  <c r="K57" i="1"/>
  <c r="K32" i="1"/>
  <c r="K21" i="1"/>
  <c r="L32" i="1" l="1"/>
</calcChain>
</file>

<file path=xl/sharedStrings.xml><?xml version="1.0" encoding="utf-8"?>
<sst xmlns="http://schemas.openxmlformats.org/spreadsheetml/2006/main" count="415" uniqueCount="161">
  <si>
    <t>Symbol(CUSIP)</t>
  </si>
  <si>
    <t>Security Description</t>
  </si>
  <si>
    <t>Quantity</t>
  </si>
  <si>
    <t>Date Acquired</t>
  </si>
  <si>
    <t>Date Sold</t>
  </si>
  <si>
    <t>Proceeds</t>
  </si>
  <si>
    <t>Cost Basis</t>
  </si>
  <si>
    <t>Short Term Gain/Loss</t>
  </si>
  <si>
    <t>Long Term Gain/Loss</t>
  </si>
  <si>
    <t>Gain(Loss)</t>
  </si>
  <si>
    <t>Cleared Amount</t>
  </si>
  <si>
    <t>COOP(62482R107)</t>
  </si>
  <si>
    <t>MR COOPER GROUP INC COM</t>
  </si>
  <si>
    <t>-</t>
  </si>
  <si>
    <t>MNKD200117C5(3434009XR)</t>
  </si>
  <si>
    <t>CALL (MNKD) MANNKIND CORP COM JAN 17 20 $5 (100 SHS)</t>
  </si>
  <si>
    <t>GLD200417C160(4518959WW)</t>
  </si>
  <si>
    <t>CALL (GLD) SPDR GOLD TR GOLD APR 17 20 $160 (100 SHS)</t>
  </si>
  <si>
    <t>TVIX(22542D258)</t>
  </si>
  <si>
    <t>CREDIT SUISSE AG NASSAU BRH VELOCITY 0.00000% 12/04/2030 SHS DAILY 2X SHORT TERM ETN NEW 2019 PUTABLE</t>
  </si>
  <si>
    <t>UVXY200228P20(4536279XT)</t>
  </si>
  <si>
    <t>PUT (UVXY) PROSHARES TR II FEB 28 20 $20 (100 SHS)</t>
  </si>
  <si>
    <t>VXX200515C23(4298499IC)</t>
  </si>
  <si>
    <t>CALL (VXX) BARCLAYS BANK PLC MAY 15 20 $23 (100 SHS)</t>
  </si>
  <si>
    <t>UVXY200327C19(4549229MG)</t>
  </si>
  <si>
    <t>CALL (UVXY) PROSHARES TR II MAR 27 20 $19 (100 SHS)</t>
  </si>
  <si>
    <t>VXX200515C19(4392239FF)</t>
  </si>
  <si>
    <t>CALL (VXX) BARCLAYS BANK PLC MAY 15 20 $19 (100 SHS)</t>
  </si>
  <si>
    <t>UVXY200327C25(4575849DZ)</t>
  </si>
  <si>
    <t>CALL (UVXY) PROSHARES TR II MAR 27 20 $25 (100 SHS)</t>
  </si>
  <si>
    <t>VXX200320C21(4284279OK)</t>
  </si>
  <si>
    <t>CALL (VXX) BARCLAYS BANK PLC MAR 20 20 $21 (100 SHS)</t>
  </si>
  <si>
    <t>GILD200515C67.5(4364189PN)</t>
  </si>
  <si>
    <t>CALL (GILD) GILEAD SCIENCES INC MAY 15 20 $67.5 (100 SHS)</t>
  </si>
  <si>
    <t>GILD200515C80(4364189CY)</t>
  </si>
  <si>
    <t>CALL (GILD) GILEAD SCIENCES INC MAY 15 20 $80 (100 SHS)</t>
  </si>
  <si>
    <t>INO(45773H201)</t>
  </si>
  <si>
    <t>INOVIO PHARMACEUTICALS INC COM NEW</t>
  </si>
  <si>
    <t>MA200619C325(4253249BV)</t>
  </si>
  <si>
    <t>CALL (MA) MASTERCARD INC CL A JUN 19 20 $325 (100 SHS)</t>
  </si>
  <si>
    <t>TTD200320C335(4525469UU)</t>
  </si>
  <si>
    <t>CALL (TTD) THE TRADE DESK INC MAR 20 20 $335 (100 SHS)</t>
  </si>
  <si>
    <t>UVXY200320C50(4030069PL)</t>
  </si>
  <si>
    <t>CALL (UVXY) PROSHARES TR II MAR 20 20 $50 (100 SHS)</t>
  </si>
  <si>
    <t>UVXY200327C30(4575859BB)</t>
  </si>
  <si>
    <t>CALL (UVXY) PROSHARES TR II MAR 27 20 $30 (100 SHS)</t>
  </si>
  <si>
    <t>VXX200320C26(4284279DB)</t>
  </si>
  <si>
    <t>CALL (VXX) BARCLAYS BANK PLC MAR 20 20 $26 (100 SHS)</t>
  </si>
  <si>
    <t>TTD200306C285(4532389JH)</t>
  </si>
  <si>
    <t>CALL (TTD) THE TRADE DESK INC MAR 06 20 $285 (100 SHS)</t>
  </si>
  <si>
    <t>UVXY200320C41(4283909TR)</t>
  </si>
  <si>
    <t>CALL (UVXY) PROSHARES TR II MAR 20 20 $41 (100 SHS)</t>
  </si>
  <si>
    <t>BGS(05508R106)</t>
  </si>
  <si>
    <t>B &amp; G FOODS INC NEW COM</t>
  </si>
  <si>
    <t>GLD200417C155(4518959EC)</t>
  </si>
  <si>
    <t>CALL (GLD) SPDR GOLD TR GOLD APR 17 20 $155 (100 SHS)</t>
  </si>
  <si>
    <t>IBIO(451033203)</t>
  </si>
  <si>
    <t>IBIO INC COM NEW</t>
  </si>
  <si>
    <t>LB(501797104)</t>
  </si>
  <si>
    <t>L BRANDS INC COM</t>
  </si>
  <si>
    <t>NVDA(67066G104)</t>
  </si>
  <si>
    <t>NVIDIA CORP</t>
  </si>
  <si>
    <t>TDOC(87918A105)</t>
  </si>
  <si>
    <t>TELADOC HEALTH INC COM</t>
  </si>
  <si>
    <t>MRNA200306C30(4580709LF)</t>
  </si>
  <si>
    <t>CALL (MRNA) MODERNA INC COM MAR 06 20 $30 (100 SHS)</t>
  </si>
  <si>
    <t>TTD200320C300(4525469HF)</t>
  </si>
  <si>
    <t>CALL (TTD) THE TRADE DESK INC MAR 20 20 $300 (100 SHS)</t>
  </si>
  <si>
    <t>UVXY200320C39(4283909JF)</t>
  </si>
  <si>
    <t>CALL (UVXY) PROSHARES TR II MAR 20 20 $39 (100 SHS)</t>
  </si>
  <si>
    <t>UVXY200320C40(4030069TP)</t>
  </si>
  <si>
    <t>CALL (UVXY) PROSHARES TR II MAR 20 20 $40 (100 SHS)</t>
  </si>
  <si>
    <t>VXX200320C25(4284279MK)</t>
  </si>
  <si>
    <t>CALL (VXX) BARCLAYS BANK PLC MAR 20 20 $25 (100 SHS)</t>
  </si>
  <si>
    <t>VXX200320C29(4284279RP)</t>
  </si>
  <si>
    <t>CALL (VXX) BARCLAYS BANK PLC MAR 20 20 $29 (100 SHS)</t>
  </si>
  <si>
    <t>NVAX200320C20(4588689GC)</t>
  </si>
  <si>
    <t>CALL (NVAX) NOVAVAX INC COM NEW MAR 20 20 $20 (100 SHS)</t>
  </si>
  <si>
    <t>UVXY200320C45(4030069RN)</t>
  </si>
  <si>
    <t>CALL (UVXY) PROSHARES TR II MAR 20 20 $45 (100 SHS)</t>
  </si>
  <si>
    <t>VXX200320C42(4284269VR)</t>
  </si>
  <si>
    <t>CALL (VXX) BARCLAYS BANK PLC MAR 20 20 $42 (100 SHS)</t>
  </si>
  <si>
    <t>LLY(532457108)</t>
  </si>
  <si>
    <t>ELI LILLY AND CO COM</t>
  </si>
  <si>
    <t>WMT(931142103)</t>
  </si>
  <si>
    <t>WALMART INC COM</t>
  </si>
  <si>
    <t>GLD200320C160(4252559VV)</t>
  </si>
  <si>
    <t>CALL (GLD) SPDR GOLD TR GOLD MAR 20 20 $160 (100 SHS)</t>
  </si>
  <si>
    <t>CODX200320P12.5(4603299NJ)</t>
  </si>
  <si>
    <t>PUT (CODX) CO DIAGNOSTICS INC MAR 20 20 $12.5 (100 SHS)</t>
  </si>
  <si>
    <t>VXX200320C37(4284279GA)</t>
  </si>
  <si>
    <t>CALL (VXX) BARCLAYS BANK PLC MAR 20 20 $37 (100 SHS)</t>
  </si>
  <si>
    <t>VXX200320C47(4300649DZ)</t>
  </si>
  <si>
    <t>CALL (VXX) BARCLAYS BANK PLC MAR 20 20 $47 (100 SHS)</t>
  </si>
  <si>
    <t>OPGN(68373L307)</t>
  </si>
  <si>
    <t>OPGEN INC COM</t>
  </si>
  <si>
    <t>VIR(92764N102)</t>
  </si>
  <si>
    <t>VIR BIOTECHNOLOGY INC COM</t>
  </si>
  <si>
    <t>MA200619C310(4253249IC)</t>
  </si>
  <si>
    <t>CALL (MA) MASTERCARD INC CL A JUN 19 20 $310 (100 SHS)</t>
  </si>
  <si>
    <t>MRNA200320C34(4580719RL)</t>
  </si>
  <si>
    <t>CALL (MRNA) MODERNA INC COM MAR 20 20 $34 (100 SHS)</t>
  </si>
  <si>
    <t>MRNA200320C25(4521629DD)</t>
  </si>
  <si>
    <t>CALL (MRNA) MODERNA INC COM MAR 20 20 $25 (100 SHS)</t>
  </si>
  <si>
    <t>MRNA200320C30(4521629XZ)</t>
  </si>
  <si>
    <t>CALL (MRNA) MODERNA INC COM MAR 20 20 $30 (100 SHS)</t>
  </si>
  <si>
    <t>VXX200320C54(4301939QM)</t>
  </si>
  <si>
    <t>CALL (VXX) BARCLAYS BANK PLC MAR 20 20 $54 (100 SHS)</t>
  </si>
  <si>
    <t>Wash Sale</t>
  </si>
  <si>
    <t>UVXY200327C21(4575849LH)</t>
  </si>
  <si>
    <t>CALL (UVXY) PROSHARES TR II MAR 27 20 $21 (100 SHS)</t>
  </si>
  <si>
    <t>GLD200320C155(4252589OO)</t>
  </si>
  <si>
    <t>CALL (GLD) SPDR GOLD TR GOLD MAR 20 20 $155 (100 SHS)</t>
  </si>
  <si>
    <t>JDST200320P5(4287129UO)</t>
  </si>
  <si>
    <t>PUT (JDST) DIREXION SHS ETF TR MAR 20 20 $5 (100 SHS)</t>
  </si>
  <si>
    <t>JNUG200320C14(4619269CU)</t>
  </si>
  <si>
    <t>CALL (JNUG) DIREXION SHS ETF TR MAR 20 20 $14 (100 SHS)</t>
  </si>
  <si>
    <t>NVAX200320C13(4320979TP)</t>
  </si>
  <si>
    <t>CALL (NVAX) NOVAVAX INC COM NEW MAR 20 20 $13 (100 SHS)</t>
  </si>
  <si>
    <t>NVAX200320C13.5(4580979JF)</t>
  </si>
  <si>
    <t>CALL (NVAX) NOVAVAX INC COM NEW MAR 20 20 $13.5 (100 SHS)</t>
  </si>
  <si>
    <t>TTD(88339J105)</t>
  </si>
  <si>
    <t>THE TRADE DESK INC COM CL A</t>
  </si>
  <si>
    <t>TTD200320C185(4525459OI)</t>
  </si>
  <si>
    <t>CALL (TTD) THE TRADE DESK INC MAR 20 20 $185 (100 SHS)</t>
  </si>
  <si>
    <t>TTD200320C285(4525469LL)</t>
  </si>
  <si>
    <t>CALL (TTD) THE TRADE DESK INC MAR 20 20 $285 (100 SHS)</t>
  </si>
  <si>
    <t>UVXY(74347W148)</t>
  </si>
  <si>
    <t>PROSHARES TR II ULTRA VIX SHORT</t>
  </si>
  <si>
    <t>VXX200417C95(4626619XZ)</t>
  </si>
  <si>
    <t>CALL (VXX) BARCLAYS BANK PLC APR 17 20 $95 (100 SHS)</t>
  </si>
  <si>
    <t>GILD200515C95(4550459JD)</t>
  </si>
  <si>
    <t>CALL (GILD) GILEAD SCIENCES INC MAY 15 20 $95 (100 SHS)</t>
  </si>
  <si>
    <t>NVAX(670002401)</t>
  </si>
  <si>
    <t>NOVAVAX INC COM NEW</t>
  </si>
  <si>
    <t>VXX200409C95(4626619CY)</t>
  </si>
  <si>
    <t>CALL (VXX) BARCLAYS BANK PLC APR 09 20 $95 (100 SHS)</t>
  </si>
  <si>
    <t>ABMD(003654100)</t>
  </si>
  <si>
    <t>ABIOMED INC COM USD0.01</t>
  </si>
  <si>
    <t>C(172967424)</t>
  </si>
  <si>
    <t>CITIGROUP INC COM NEW</t>
  </si>
  <si>
    <t>WU(959802109)</t>
  </si>
  <si>
    <t>WESTERN UNION CO COM</t>
  </si>
  <si>
    <t>COKE(191098102)</t>
  </si>
  <si>
    <t>COCA COLA CONSOLIDATED INC COM</t>
  </si>
  <si>
    <t>MA200619C305(4253249KE)</t>
  </si>
  <si>
    <t>CALL (MA) MASTERCARD INC CL A JUN 19 20 $305 (100 SHS)</t>
  </si>
  <si>
    <t>OXY200327P11(4604409VT)</t>
  </si>
  <si>
    <t>PUT (OXY) OCCIDENTAL PETE CORPMAR 27 20 $11 (100 SHS)</t>
  </si>
  <si>
    <t>XLC200417C43(4573969BV)</t>
  </si>
  <si>
    <t>CALL (XLC) SELECT SECTOR SPDR APR 17 20 $43 (100 SHS)</t>
  </si>
  <si>
    <t>TLRY(88688T100)</t>
  </si>
  <si>
    <t>TILRAY INC COM USD0.0001 CLASS 2</t>
  </si>
  <si>
    <t>TLRY200327C6.5(4597869PL)</t>
  </si>
  <si>
    <t>CALL (TLRY) TILRAY INC COM MAR 27 20 $6.5 (100 SHS)</t>
  </si>
  <si>
    <t>TLRY200327C7(4597869QM)</t>
  </si>
  <si>
    <t>CALL (TLRY) TILRAY INC COM MAR 27 20 $7 (100 SHS)</t>
  </si>
  <si>
    <t>TLRY200403P6.5(4597869EY)</t>
  </si>
  <si>
    <t>PUT (TLRY) TILRAY INC COM APR 03 20 $6.5 (100 SHS)</t>
  </si>
  <si>
    <t>TQQQ(74347X831)</t>
  </si>
  <si>
    <t>PROSHARES ULTRAPRO 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</si>
</sst>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00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Border="1"/>
    <xf numFmtId="14" fontId="0" fillId="0" borderId="0" xfId="0" applyNumberFormat="1" applyBorder="1"/>
    <xf numFmtId="8" fontId="0" fillId="0" borderId="0" xfId="0" applyNumberFormat="1" applyBorder="1"/>
    <xf numFmtId="0" fontId="0" fillId="0" borderId="11" xfId="0" applyBorder="1"/>
    <xf numFmtId="0" fontId="0" fillId="0" borderId="12" xfId="0" applyBorder="1"/>
    <xf numFmtId="14" fontId="0" fillId="0" borderId="12" xfId="0" applyNumberFormat="1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8" fontId="0" fillId="0" borderId="17" xfId="0" applyNumberFormat="1" applyBorder="1"/>
    <xf numFmtId="8" fontId="0" fillId="0" borderId="18" xfId="0" applyNumberFormat="1" applyBorder="1"/>
    <xf numFmtId="8" fontId="0" fillId="0" borderId="15" xfId="0" applyNumberFormat="1" applyBorder="1"/>
    <xf numFmtId="14" fontId="18" fillId="0" borderId="10" xfId="0" applyNumberFormat="1" applyFont="1" applyFill="1" applyBorder="1"/>
    <xf numFmtId="14" fontId="18" fillId="0" borderId="10" xfId="0" applyNumberFormat="1" applyFont="1" applyBorder="1" applyAlignment="1">
      <alignment horizontal="center" vertical="center"/>
    </xf>
    <xf numFmtId="14" fontId="0" fillId="0" borderId="23" xfId="0" applyNumberFormat="1" applyFont="1" applyBorder="1" applyAlignment="1">
      <alignment horizontal="center" vertical="center" textRotation="90"/>
    </xf>
    <xf numFmtId="14" fontId="0" fillId="0" borderId="24" xfId="0" applyNumberFormat="1" applyFont="1" applyBorder="1" applyAlignment="1">
      <alignment horizontal="center" vertical="center" textRotation="90"/>
    </xf>
    <xf numFmtId="14" fontId="0" fillId="0" borderId="25" xfId="0" applyNumberFormat="1" applyFont="1" applyBorder="1" applyAlignment="1">
      <alignment horizontal="center" vertical="center" textRotation="90"/>
    </xf>
    <xf numFmtId="14" fontId="0" fillId="0" borderId="20" xfId="0" applyNumberFormat="1" applyFont="1" applyBorder="1" applyAlignment="1">
      <alignment horizontal="center" vertical="center" textRotation="90"/>
    </xf>
    <xf numFmtId="14" fontId="18" fillId="0" borderId="19" xfId="0" applyNumberFormat="1" applyFont="1" applyBorder="1" applyAlignment="1">
      <alignment horizontal="center" vertical="center"/>
    </xf>
    <xf numFmtId="14" fontId="18" fillId="0" borderId="20" xfId="0" applyNumberFormat="1" applyFont="1" applyBorder="1" applyAlignment="1">
      <alignment horizontal="center" vertical="center"/>
    </xf>
    <xf numFmtId="14" fontId="0" fillId="0" borderId="19" xfId="0" applyNumberFormat="1" applyFont="1" applyBorder="1" applyAlignment="1">
      <alignment horizontal="center" vertical="center" textRotation="90"/>
    </xf>
    <xf numFmtId="14" fontId="0" fillId="0" borderId="21" xfId="0" applyNumberFormat="1" applyFont="1" applyBorder="1" applyAlignment="1">
      <alignment horizontal="center" vertical="center" textRotation="90"/>
    </xf>
    <xf numFmtId="14" fontId="18" fillId="0" borderId="22" xfId="0" applyNumberFormat="1" applyFont="1" applyBorder="1" applyAlignment="1">
      <alignment horizontal="center" vertical="center"/>
    </xf>
    <xf numFmtId="14" fontId="0" fillId="0" borderId="26" xfId="0" applyNumberFormat="1" applyFont="1" applyBorder="1" applyAlignment="1">
      <alignment horizontal="center" vertical="center" textRotation="90"/>
    </xf>
    <xf numFmtId="0" fontId="0" fillId="0" borderId="27" xfId="0" applyBorder="1"/>
    <xf numFmtId="14" fontId="0" fillId="0" borderId="27" xfId="0" applyNumberFormat="1" applyBorder="1"/>
    <xf numFmtId="8" fontId="0" fillId="0" borderId="27" xfId="0" applyNumberFormat="1" applyBorder="1"/>
    <xf numFmtId="0" fontId="0" fillId="0" borderId="28" xfId="0" applyBorder="1"/>
    <xf numFmtId="14" fontId="0" fillId="0" borderId="29" xfId="0" applyNumberFormat="1" applyFont="1" applyBorder="1" applyAlignment="1">
      <alignment horizontal="center" vertical="center" textRotation="90"/>
    </xf>
    <xf numFmtId="0" fontId="0" fillId="0" borderId="30" xfId="0" applyBorder="1"/>
    <xf numFmtId="14" fontId="0" fillId="0" borderId="31" xfId="0" applyNumberFormat="1" applyFont="1" applyBorder="1" applyAlignment="1">
      <alignment horizontal="center" vertical="center" textRotation="90"/>
    </xf>
    <xf numFmtId="0" fontId="0" fillId="0" borderId="32" xfId="0" applyBorder="1"/>
    <xf numFmtId="14" fontId="0" fillId="0" borderId="32" xfId="0" applyNumberFormat="1" applyBorder="1"/>
    <xf numFmtId="8" fontId="0" fillId="0" borderId="32" xfId="0" applyNumberFormat="1" applyBorder="1"/>
    <xf numFmtId="8" fontId="0" fillId="0" borderId="33" xfId="0" applyNumberFormat="1" applyBorder="1"/>
    <xf numFmtId="8" fontId="0" fillId="0" borderId="30" xfId="0" applyNumberFormat="1" applyBorder="1"/>
    <xf numFmtId="14" fontId="0" fillId="0" borderId="29" xfId="0" applyNumberFormat="1" applyFont="1" applyBorder="1" applyAlignment="1">
      <alignment vertical="center" textRotation="90"/>
    </xf>
    <xf numFmtId="8" fontId="0" fillId="0" borderId="34" xfId="0" applyNumberFormat="1" applyFont="1" applyBorder="1"/>
    <xf numFmtId="14" fontId="0" fillId="33" borderId="0" xfId="0" applyNumberFormat="1" applyFont="1" applyFill="1" applyBorder="1" applyAlignment="1">
      <alignment horizontal="center"/>
    </xf>
    <xf numFmtId="14" fontId="0" fillId="33" borderId="35" xfId="0" applyNumberFormat="1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K264" totalsRowShown="0">
  <autoFilter ref="B2:K264" xr:uid="{00000000-0009-0000-0100-000001000000}"/>
  <sortState xmlns:xlrd2="http://schemas.microsoft.com/office/spreadsheetml/2017/richdata2" ref="B3:K88">
    <sortCondition ref="F3:F88"/>
    <sortCondition ref="B3:B88"/>
    <sortCondition ref="E3:E88"/>
    <sortCondition ref="D3:D88"/>
  </sortState>
  <tableColumns count="10">
    <tableColumn id="1" xr3:uid="{00000000-0010-0000-0000-000001000000}" name="Symbol(CUSIP)"/>
    <tableColumn id="2" xr3:uid="{00000000-0010-0000-0000-000002000000}" name="Security Description"/>
    <tableColumn id="3" xr3:uid="{00000000-0010-0000-0000-000003000000}" name="Quantity"/>
    <tableColumn id="4" xr3:uid="{00000000-0010-0000-0000-000004000000}" name="Date Acquired"/>
    <tableColumn id="5" xr3:uid="{00000000-0010-0000-0000-000005000000}" name="Date Sold"/>
    <tableColumn id="6" xr3:uid="{00000000-0010-0000-0000-000006000000}" name="Proceeds"/>
    <tableColumn id="7" xr3:uid="{00000000-0010-0000-0000-000007000000}" name="Cost Basis"/>
    <tableColumn id="8" xr3:uid="{00000000-0010-0000-0000-000008000000}" name="Short Term Gain/Loss"/>
    <tableColumn id="9" xr3:uid="{00000000-0010-0000-0000-000009000000}" name="Long Term Gain/Loss"/>
    <tableColumn id="10" xr3:uid="{00000000-0010-0000-0000-00000A000000}" name="Gain(Loss)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tabSelected="1" workbookViewId="0">
      <pane ySplit="2" topLeftCell="A3" activePane="bottomLeft" state="frozen"/>
      <selection pane="bottomLeft" activeCell="L2" sqref="L2"/>
    </sheetView>
  </sheetViews>
  <sheetFormatPr defaultRowHeight="15"/>
  <cols>
    <col min="1" max="1" width="9.85546875" bestFit="1" customWidth="1"/>
    <col min="2" max="2" width="27.85546875" bestFit="1" customWidth="1"/>
    <col min="3" max="3" width="66.7109375" customWidth="1"/>
    <col min="4" max="4" width="10.85546875" customWidth="1"/>
    <col min="5" max="5" width="15.7109375" customWidth="1"/>
    <col min="6" max="6" width="11.5703125" customWidth="1"/>
    <col min="7" max="7" width="11.28515625" customWidth="1"/>
    <col min="8" max="8" width="11.85546875" customWidth="1"/>
    <col min="9" max="9" width="21.85546875" customWidth="1"/>
    <col min="10" max="10" width="21.28515625" customWidth="1"/>
    <col min="11" max="11" width="12.5703125" bestFit="1" customWidth="1"/>
    <col min="12" max="12" width="22.7109375" customWidth="1"/>
  </cols>
  <sheetData>
    <row r="1" spans="1:12">
      <c r="K1" s="2">
        <f>SUM(Table1[Gain(Loss)])</f>
        <v>41548.43</v>
      </c>
    </row>
    <row r="2" spans="1:1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47" t="s">
        <v>10</v>
      </c>
    </row>
    <row r="3" spans="1:12">
      <c r="A3" s="19">
        <v>43844</v>
      </c>
      <c r="B3" t="s">
        <v>11</v>
      </c>
      <c r="C3" t="s">
        <v>12</v>
      </c>
      <c r="D3">
        <v>0</v>
      </c>
      <c r="E3" s="1">
        <v>43844</v>
      </c>
      <c r="F3" s="1">
        <v>43844</v>
      </c>
      <c r="G3" s="2">
        <v>10.17</v>
      </c>
      <c r="H3" s="2">
        <v>0</v>
      </c>
      <c r="I3" s="2">
        <v>10.17</v>
      </c>
      <c r="J3" t="s">
        <v>13</v>
      </c>
      <c r="K3" s="2">
        <f>Table1[[#This Row],[Short Term Gain/Loss]]</f>
        <v>10.17</v>
      </c>
      <c r="L3" s="45">
        <v>43909</v>
      </c>
    </row>
    <row r="4" spans="1:12">
      <c r="A4" s="25">
        <v>43847</v>
      </c>
      <c r="B4" t="s">
        <v>14</v>
      </c>
      <c r="C4" t="s">
        <v>15</v>
      </c>
      <c r="D4">
        <v>20</v>
      </c>
      <c r="E4" s="1">
        <v>43347</v>
      </c>
      <c r="F4" s="1">
        <v>43847</v>
      </c>
      <c r="G4" s="2">
        <v>0</v>
      </c>
      <c r="H4" s="2">
        <v>1178.6400000000001</v>
      </c>
      <c r="I4" t="s">
        <v>13</v>
      </c>
      <c r="J4" s="2">
        <v>-1178.6400000000001</v>
      </c>
      <c r="L4" s="45"/>
    </row>
    <row r="5" spans="1:12">
      <c r="A5" s="26"/>
      <c r="B5" s="6" t="s">
        <v>14</v>
      </c>
      <c r="C5" s="7" t="s">
        <v>15</v>
      </c>
      <c r="D5" s="7">
        <v>20</v>
      </c>
      <c r="E5" s="8">
        <v>43348</v>
      </c>
      <c r="F5" s="8">
        <v>43847</v>
      </c>
      <c r="G5" s="9">
        <v>0</v>
      </c>
      <c r="H5" s="9">
        <v>1838.64</v>
      </c>
      <c r="I5" s="7" t="s">
        <v>13</v>
      </c>
      <c r="J5" s="9">
        <v>-1838.64</v>
      </c>
      <c r="K5" s="9">
        <f>SUM(J4:J5)</f>
        <v>-3017.28</v>
      </c>
      <c r="L5" s="45"/>
    </row>
    <row r="6" spans="1:12">
      <c r="A6" s="27">
        <v>43887</v>
      </c>
      <c r="B6" s="6" t="s">
        <v>16</v>
      </c>
      <c r="C6" s="7" t="s">
        <v>17</v>
      </c>
      <c r="D6" s="7">
        <v>10</v>
      </c>
      <c r="E6" s="8">
        <v>43886</v>
      </c>
      <c r="F6" s="8">
        <v>43887</v>
      </c>
      <c r="G6" s="9">
        <v>2033.06</v>
      </c>
      <c r="H6" s="9">
        <v>1636.89</v>
      </c>
      <c r="I6" s="9">
        <v>396.17</v>
      </c>
      <c r="J6" s="7" t="s">
        <v>13</v>
      </c>
      <c r="K6" s="10"/>
      <c r="L6" s="45"/>
    </row>
    <row r="7" spans="1:12">
      <c r="A7" s="24"/>
      <c r="B7" s="11" t="s">
        <v>18</v>
      </c>
      <c r="C7" s="3" t="s">
        <v>19</v>
      </c>
      <c r="D7" s="3">
        <v>10</v>
      </c>
      <c r="E7" s="4">
        <v>43874</v>
      </c>
      <c r="F7" s="4">
        <v>43887</v>
      </c>
      <c r="G7" s="5">
        <v>690.43</v>
      </c>
      <c r="H7" s="5">
        <v>394.32</v>
      </c>
      <c r="I7" s="5">
        <v>296.11</v>
      </c>
      <c r="J7" s="3" t="s">
        <v>13</v>
      </c>
      <c r="K7" s="12"/>
      <c r="L7" s="45"/>
    </row>
    <row r="8" spans="1:12">
      <c r="A8" s="24"/>
      <c r="B8" s="11" t="s">
        <v>18</v>
      </c>
      <c r="C8" s="3" t="s">
        <v>19</v>
      </c>
      <c r="D8" s="3">
        <v>1</v>
      </c>
      <c r="E8" s="4">
        <v>43875</v>
      </c>
      <c r="F8" s="4">
        <v>43887</v>
      </c>
      <c r="G8" s="5">
        <v>69.040000000000006</v>
      </c>
      <c r="H8" s="5">
        <v>39.31</v>
      </c>
      <c r="I8" s="5">
        <v>29.73</v>
      </c>
      <c r="J8" s="3" t="s">
        <v>13</v>
      </c>
      <c r="K8" s="12"/>
      <c r="L8" s="45"/>
    </row>
    <row r="9" spans="1:12">
      <c r="A9" s="24"/>
      <c r="B9" s="11" t="s">
        <v>18</v>
      </c>
      <c r="C9" s="3" t="s">
        <v>19</v>
      </c>
      <c r="D9" s="3">
        <v>1</v>
      </c>
      <c r="E9" s="4">
        <v>43880</v>
      </c>
      <c r="F9" s="4">
        <v>43887</v>
      </c>
      <c r="G9" s="5">
        <v>69.05</v>
      </c>
      <c r="H9" s="5">
        <v>39.270000000000003</v>
      </c>
      <c r="I9" s="5">
        <v>29.78</v>
      </c>
      <c r="J9" s="3" t="s">
        <v>13</v>
      </c>
      <c r="K9" s="12"/>
      <c r="L9" s="45"/>
    </row>
    <row r="10" spans="1:12">
      <c r="A10" s="24"/>
      <c r="B10" s="11" t="s">
        <v>20</v>
      </c>
      <c r="C10" s="3" t="s">
        <v>21</v>
      </c>
      <c r="D10" s="3">
        <v>1</v>
      </c>
      <c r="E10" s="4">
        <v>43886</v>
      </c>
      <c r="F10" s="4">
        <v>43887</v>
      </c>
      <c r="G10" s="5">
        <v>309.3</v>
      </c>
      <c r="H10" s="5">
        <v>254.69</v>
      </c>
      <c r="I10" s="5">
        <v>54.61</v>
      </c>
      <c r="J10" s="3" t="s">
        <v>13</v>
      </c>
      <c r="K10" s="12"/>
      <c r="L10" s="45"/>
    </row>
    <row r="11" spans="1:12">
      <c r="A11" s="24"/>
      <c r="B11" s="11" t="s">
        <v>22</v>
      </c>
      <c r="C11" s="3" t="s">
        <v>23</v>
      </c>
      <c r="D11" s="3">
        <v>2</v>
      </c>
      <c r="E11" s="4">
        <v>43886</v>
      </c>
      <c r="F11" s="4">
        <v>43887</v>
      </c>
      <c r="G11" s="5">
        <v>442.61</v>
      </c>
      <c r="H11" s="5">
        <v>309.38</v>
      </c>
      <c r="I11" s="5">
        <v>133.22999999999999</v>
      </c>
      <c r="J11" s="3" t="s">
        <v>13</v>
      </c>
      <c r="K11" s="12"/>
      <c r="L11" s="45"/>
    </row>
    <row r="12" spans="1:12">
      <c r="A12" s="24"/>
      <c r="B12" s="13" t="s">
        <v>22</v>
      </c>
      <c r="C12" s="14" t="s">
        <v>23</v>
      </c>
      <c r="D12" s="14">
        <v>3</v>
      </c>
      <c r="E12" s="15">
        <v>43886</v>
      </c>
      <c r="F12" s="15">
        <v>43887</v>
      </c>
      <c r="G12" s="16">
        <v>663.92</v>
      </c>
      <c r="H12" s="16">
        <v>464.07</v>
      </c>
      <c r="I12" s="16">
        <v>199.85</v>
      </c>
      <c r="J12" s="14" t="s">
        <v>13</v>
      </c>
      <c r="K12" s="17">
        <f>SUM(I6:I12)</f>
        <v>1139.48</v>
      </c>
      <c r="L12" s="45"/>
    </row>
    <row r="13" spans="1:12" ht="15" customHeight="1">
      <c r="A13" s="27">
        <v>43888</v>
      </c>
      <c r="B13" s="11" t="s">
        <v>24</v>
      </c>
      <c r="C13" s="3" t="s">
        <v>25</v>
      </c>
      <c r="D13" s="3">
        <v>5</v>
      </c>
      <c r="E13" s="4">
        <v>43886</v>
      </c>
      <c r="F13" s="4">
        <v>43888</v>
      </c>
      <c r="G13" s="5">
        <v>1911.51</v>
      </c>
      <c r="H13" s="5">
        <v>1573.44</v>
      </c>
      <c r="I13" s="5">
        <v>338.07</v>
      </c>
      <c r="J13" s="3" t="s">
        <v>13</v>
      </c>
      <c r="K13" s="3"/>
      <c r="L13" s="45"/>
    </row>
    <row r="14" spans="1:12">
      <c r="A14" s="24"/>
      <c r="B14" s="11" t="s">
        <v>24</v>
      </c>
      <c r="C14" s="3" t="s">
        <v>25</v>
      </c>
      <c r="D14" s="3">
        <v>5</v>
      </c>
      <c r="E14" s="4">
        <v>43887</v>
      </c>
      <c r="F14" s="4">
        <v>43888</v>
      </c>
      <c r="G14" s="5">
        <v>1911.51</v>
      </c>
      <c r="H14" s="5">
        <v>1213.44</v>
      </c>
      <c r="I14" s="5">
        <v>698.07</v>
      </c>
      <c r="J14" s="3" t="s">
        <v>13</v>
      </c>
      <c r="K14" s="3"/>
      <c r="L14" s="45"/>
    </row>
    <row r="15" spans="1:12">
      <c r="A15" s="24"/>
      <c r="B15" s="11" t="s">
        <v>26</v>
      </c>
      <c r="C15" s="3" t="s">
        <v>27</v>
      </c>
      <c r="D15" s="3">
        <v>5</v>
      </c>
      <c r="E15" s="4">
        <v>43886</v>
      </c>
      <c r="F15" s="4">
        <v>43888</v>
      </c>
      <c r="G15" s="5">
        <v>2056.5100000000002</v>
      </c>
      <c r="H15" s="5">
        <v>1763.44</v>
      </c>
      <c r="I15" s="5">
        <v>293.07</v>
      </c>
      <c r="J15" s="3" t="s">
        <v>13</v>
      </c>
      <c r="K15" s="3"/>
      <c r="L15" s="45"/>
    </row>
    <row r="16" spans="1:12">
      <c r="A16" s="24"/>
      <c r="B16" s="11" t="s">
        <v>26</v>
      </c>
      <c r="C16" s="3" t="s">
        <v>27</v>
      </c>
      <c r="D16" s="3">
        <v>1</v>
      </c>
      <c r="E16" s="4">
        <v>43887</v>
      </c>
      <c r="F16" s="4">
        <v>43888</v>
      </c>
      <c r="G16" s="5">
        <v>411.3</v>
      </c>
      <c r="H16" s="5">
        <v>312.69</v>
      </c>
      <c r="I16" s="5">
        <v>98.61</v>
      </c>
      <c r="J16" s="3" t="s">
        <v>13</v>
      </c>
      <c r="K16" s="3"/>
      <c r="L16" s="45"/>
    </row>
    <row r="17" spans="1:12">
      <c r="A17" s="24"/>
      <c r="B17" s="11" t="s">
        <v>26</v>
      </c>
      <c r="C17" s="3" t="s">
        <v>27</v>
      </c>
      <c r="D17" s="3">
        <v>2</v>
      </c>
      <c r="E17" s="4">
        <v>43887</v>
      </c>
      <c r="F17" s="4">
        <v>43888</v>
      </c>
      <c r="G17" s="5">
        <v>822.6</v>
      </c>
      <c r="H17" s="5">
        <v>577.38</v>
      </c>
      <c r="I17" s="5">
        <v>245.22</v>
      </c>
      <c r="J17" s="3" t="s">
        <v>13</v>
      </c>
      <c r="K17" s="3"/>
      <c r="L17" s="45"/>
    </row>
    <row r="18" spans="1:12">
      <c r="A18" s="24"/>
      <c r="B18" s="11" t="s">
        <v>26</v>
      </c>
      <c r="C18" s="3" t="s">
        <v>27</v>
      </c>
      <c r="D18" s="3">
        <v>2</v>
      </c>
      <c r="E18" s="4">
        <v>43887</v>
      </c>
      <c r="F18" s="4">
        <v>43888</v>
      </c>
      <c r="G18" s="5">
        <v>822.6</v>
      </c>
      <c r="H18" s="5">
        <v>585.38</v>
      </c>
      <c r="I18" s="5">
        <v>237.22</v>
      </c>
      <c r="J18" s="3" t="s">
        <v>13</v>
      </c>
      <c r="K18" s="5">
        <f>SUM(I13:I18)</f>
        <v>1910.26</v>
      </c>
      <c r="L18" s="45"/>
    </row>
    <row r="19" spans="1:12" ht="15" customHeight="1">
      <c r="A19" s="25">
        <v>43889</v>
      </c>
      <c r="B19" s="6" t="s">
        <v>28</v>
      </c>
      <c r="C19" s="7" t="s">
        <v>29</v>
      </c>
      <c r="D19" s="7">
        <v>1</v>
      </c>
      <c r="E19" s="8">
        <v>43886</v>
      </c>
      <c r="F19" s="8">
        <v>43889</v>
      </c>
      <c r="G19" s="9">
        <v>168.31</v>
      </c>
      <c r="H19" s="9">
        <v>490.69</v>
      </c>
      <c r="I19" s="9">
        <v>-322.38</v>
      </c>
      <c r="J19" s="7" t="s">
        <v>13</v>
      </c>
      <c r="K19" s="10"/>
      <c r="L19" s="45"/>
    </row>
    <row r="20" spans="1:12">
      <c r="A20" s="26"/>
      <c r="B20" s="11" t="s">
        <v>30</v>
      </c>
      <c r="C20" s="3" t="s">
        <v>31</v>
      </c>
      <c r="D20" s="3">
        <v>5</v>
      </c>
      <c r="E20" s="4">
        <v>43888</v>
      </c>
      <c r="F20" s="4">
        <v>43889</v>
      </c>
      <c r="G20" s="5">
        <v>2361.5</v>
      </c>
      <c r="H20" s="5">
        <v>1128.45</v>
      </c>
      <c r="I20" s="5">
        <v>1233.05</v>
      </c>
      <c r="J20" s="3" t="s">
        <v>13</v>
      </c>
      <c r="K20" s="12"/>
      <c r="L20" s="45"/>
    </row>
    <row r="21" spans="1:12">
      <c r="A21" s="29"/>
      <c r="B21" s="13" t="s">
        <v>30</v>
      </c>
      <c r="C21" s="14" t="s">
        <v>31</v>
      </c>
      <c r="D21" s="14">
        <v>5</v>
      </c>
      <c r="E21" s="15">
        <v>43888</v>
      </c>
      <c r="F21" s="15">
        <v>43889</v>
      </c>
      <c r="G21" s="16">
        <v>2371.5</v>
      </c>
      <c r="H21" s="16">
        <v>1128.44</v>
      </c>
      <c r="I21" s="16">
        <v>1243.06</v>
      </c>
      <c r="J21" s="14" t="s">
        <v>13</v>
      </c>
      <c r="K21" s="17">
        <f>SUM(I19:I21)</f>
        <v>2153.73</v>
      </c>
      <c r="L21" s="45"/>
    </row>
    <row r="22" spans="1:12">
      <c r="A22" s="27">
        <v>43892</v>
      </c>
      <c r="B22" s="6" t="s">
        <v>32</v>
      </c>
      <c r="C22" s="7" t="s">
        <v>33</v>
      </c>
      <c r="D22" s="7">
        <v>5</v>
      </c>
      <c r="E22" s="8">
        <v>43886</v>
      </c>
      <c r="F22" s="8">
        <v>43892</v>
      </c>
      <c r="G22" s="9">
        <v>4571.45</v>
      </c>
      <c r="H22" s="9">
        <v>2893.44</v>
      </c>
      <c r="I22" s="9">
        <v>1678.01</v>
      </c>
      <c r="J22" s="7" t="s">
        <v>13</v>
      </c>
      <c r="K22" s="10"/>
      <c r="L22" s="45"/>
    </row>
    <row r="23" spans="1:12">
      <c r="A23" s="24"/>
      <c r="B23" s="11" t="s">
        <v>34</v>
      </c>
      <c r="C23" s="3" t="s">
        <v>35</v>
      </c>
      <c r="D23" s="3">
        <v>5</v>
      </c>
      <c r="E23" s="4">
        <v>43886</v>
      </c>
      <c r="F23" s="4">
        <v>43892</v>
      </c>
      <c r="G23" s="5">
        <v>1021.53</v>
      </c>
      <c r="H23" s="5">
        <v>2053.44</v>
      </c>
      <c r="I23" s="5">
        <v>-1031.9100000000001</v>
      </c>
      <c r="J23" s="3" t="s">
        <v>13</v>
      </c>
      <c r="K23" s="12"/>
      <c r="L23" s="45"/>
    </row>
    <row r="24" spans="1:12">
      <c r="A24" s="24"/>
      <c r="B24" s="11" t="s">
        <v>36</v>
      </c>
      <c r="C24" s="3" t="s">
        <v>37</v>
      </c>
      <c r="D24" s="3">
        <v>100</v>
      </c>
      <c r="E24" s="4">
        <v>43888</v>
      </c>
      <c r="F24" s="4">
        <v>43892</v>
      </c>
      <c r="G24" s="5">
        <v>435.99</v>
      </c>
      <c r="H24" s="5">
        <v>446</v>
      </c>
      <c r="I24" s="5">
        <v>-10.01</v>
      </c>
      <c r="J24" s="3" t="s">
        <v>13</v>
      </c>
      <c r="K24" s="12"/>
      <c r="L24" s="45"/>
    </row>
    <row r="25" spans="1:12">
      <c r="A25" s="24"/>
      <c r="B25" s="11" t="s">
        <v>36</v>
      </c>
      <c r="C25" s="3" t="s">
        <v>37</v>
      </c>
      <c r="D25" s="3">
        <v>100</v>
      </c>
      <c r="E25" s="4">
        <v>43888</v>
      </c>
      <c r="F25" s="4">
        <v>43892</v>
      </c>
      <c r="G25" s="5">
        <v>435.99</v>
      </c>
      <c r="H25" s="5">
        <v>431</v>
      </c>
      <c r="I25" s="5">
        <v>4.99</v>
      </c>
      <c r="J25" s="3" t="s">
        <v>13</v>
      </c>
      <c r="K25" s="18"/>
      <c r="L25" s="45"/>
    </row>
    <row r="26" spans="1:12">
      <c r="A26" s="24"/>
      <c r="B26" s="11" t="s">
        <v>38</v>
      </c>
      <c r="C26" s="3" t="s">
        <v>39</v>
      </c>
      <c r="D26" s="3">
        <v>1</v>
      </c>
      <c r="E26" s="4">
        <v>43886</v>
      </c>
      <c r="F26" s="4">
        <v>43892</v>
      </c>
      <c r="G26" s="5">
        <v>1081.28</v>
      </c>
      <c r="H26" s="5">
        <v>1040.69</v>
      </c>
      <c r="I26" s="5">
        <v>40.590000000000003</v>
      </c>
      <c r="J26" s="3" t="s">
        <v>13</v>
      </c>
      <c r="K26" s="12"/>
      <c r="L26" s="45"/>
    </row>
    <row r="27" spans="1:12">
      <c r="A27" s="24"/>
      <c r="B27" s="11" t="s">
        <v>40</v>
      </c>
      <c r="C27" s="3" t="s">
        <v>41</v>
      </c>
      <c r="D27" s="3">
        <v>1</v>
      </c>
      <c r="E27" s="4">
        <v>43889</v>
      </c>
      <c r="F27" s="4">
        <v>43892</v>
      </c>
      <c r="G27" s="5">
        <v>384.3</v>
      </c>
      <c r="H27" s="5">
        <v>175.69</v>
      </c>
      <c r="I27" s="5">
        <v>208.61</v>
      </c>
      <c r="J27" s="3" t="s">
        <v>13</v>
      </c>
      <c r="K27" s="12"/>
      <c r="L27" s="45"/>
    </row>
    <row r="28" spans="1:12">
      <c r="A28" s="24"/>
      <c r="B28" s="11" t="s">
        <v>40</v>
      </c>
      <c r="C28" s="3" t="s">
        <v>41</v>
      </c>
      <c r="D28" s="3">
        <v>1</v>
      </c>
      <c r="E28" s="4">
        <v>43889</v>
      </c>
      <c r="F28" s="4">
        <v>43892</v>
      </c>
      <c r="G28" s="5">
        <v>364.3</v>
      </c>
      <c r="H28" s="5">
        <v>175.69</v>
      </c>
      <c r="I28" s="5">
        <v>188.61</v>
      </c>
      <c r="J28" s="3" t="s">
        <v>13</v>
      </c>
      <c r="K28" s="12"/>
      <c r="L28" s="45"/>
    </row>
    <row r="29" spans="1:12">
      <c r="A29" s="24"/>
      <c r="B29" s="11" t="s">
        <v>42</v>
      </c>
      <c r="C29" s="3" t="s">
        <v>43</v>
      </c>
      <c r="D29" s="3">
        <v>10</v>
      </c>
      <c r="E29" s="4">
        <v>43889</v>
      </c>
      <c r="F29" s="4">
        <v>43892</v>
      </c>
      <c r="G29" s="5">
        <v>413.1</v>
      </c>
      <c r="H29" s="5">
        <v>250.39</v>
      </c>
      <c r="I29" s="5">
        <v>162.71</v>
      </c>
      <c r="J29" s="3" t="s">
        <v>13</v>
      </c>
      <c r="K29" s="12"/>
      <c r="L29" s="45"/>
    </row>
    <row r="30" spans="1:12">
      <c r="A30" s="24"/>
      <c r="B30" s="11" t="s">
        <v>44</v>
      </c>
      <c r="C30" s="3" t="s">
        <v>45</v>
      </c>
      <c r="D30" s="3">
        <v>5</v>
      </c>
      <c r="E30" s="4">
        <v>43889</v>
      </c>
      <c r="F30" s="4">
        <v>43892</v>
      </c>
      <c r="G30" s="5">
        <v>1496.52</v>
      </c>
      <c r="H30" s="5">
        <v>773.44</v>
      </c>
      <c r="I30" s="5">
        <v>723.08</v>
      </c>
      <c r="J30" s="3" t="s">
        <v>13</v>
      </c>
      <c r="K30" s="12"/>
      <c r="L30" s="45"/>
    </row>
    <row r="31" spans="1:12">
      <c r="A31" s="24"/>
      <c r="B31" s="11" t="s">
        <v>46</v>
      </c>
      <c r="C31" s="3" t="s">
        <v>47</v>
      </c>
      <c r="D31" s="3">
        <v>1</v>
      </c>
      <c r="E31" s="4">
        <v>43889</v>
      </c>
      <c r="F31" s="4">
        <v>43892</v>
      </c>
      <c r="G31" s="5">
        <v>195.31</v>
      </c>
      <c r="H31" s="5">
        <v>101.69</v>
      </c>
      <c r="I31" s="5">
        <v>93.62</v>
      </c>
      <c r="J31" s="3" t="s">
        <v>13</v>
      </c>
      <c r="K31" s="12"/>
      <c r="L31" s="46"/>
    </row>
    <row r="32" spans="1:12">
      <c r="A32" s="24"/>
      <c r="B32" s="13" t="s">
        <v>46</v>
      </c>
      <c r="C32" s="14" t="s">
        <v>47</v>
      </c>
      <c r="D32" s="14">
        <v>9</v>
      </c>
      <c r="E32" s="15">
        <v>43889</v>
      </c>
      <c r="F32" s="15">
        <v>43892</v>
      </c>
      <c r="G32" s="16">
        <v>1757.75</v>
      </c>
      <c r="H32" s="16">
        <v>987.2</v>
      </c>
      <c r="I32" s="16">
        <v>770.55</v>
      </c>
      <c r="J32" s="14" t="s">
        <v>13</v>
      </c>
      <c r="K32" s="17">
        <f>SUM(I22:I32)</f>
        <v>2828.8499999999995</v>
      </c>
      <c r="L32" s="44">
        <f>SUM(K3:K32)</f>
        <v>5025.2099999999991</v>
      </c>
    </row>
    <row r="33" spans="1:11">
      <c r="A33" s="25">
        <v>43894</v>
      </c>
      <c r="B33" s="11" t="s">
        <v>48</v>
      </c>
      <c r="C33" s="3" t="s">
        <v>49</v>
      </c>
      <c r="D33" s="3">
        <v>2</v>
      </c>
      <c r="E33" s="4">
        <v>43893</v>
      </c>
      <c r="F33" s="4">
        <v>43894</v>
      </c>
      <c r="G33" s="5">
        <v>1156.5899999999999</v>
      </c>
      <c r="H33" s="5">
        <v>151.38</v>
      </c>
      <c r="I33" s="5">
        <v>1005.21</v>
      </c>
      <c r="J33" s="3" t="s">
        <v>13</v>
      </c>
      <c r="K33" s="12"/>
    </row>
    <row r="34" spans="1:11">
      <c r="A34" s="26"/>
      <c r="B34" s="13" t="s">
        <v>50</v>
      </c>
      <c r="C34" s="14" t="s">
        <v>51</v>
      </c>
      <c r="D34" s="14">
        <v>10</v>
      </c>
      <c r="E34" s="15">
        <v>43893</v>
      </c>
      <c r="F34" s="15">
        <v>43894</v>
      </c>
      <c r="G34" s="16">
        <v>993.08</v>
      </c>
      <c r="H34" s="16">
        <v>450.39</v>
      </c>
      <c r="I34" s="16">
        <v>542.69000000000005</v>
      </c>
      <c r="J34" s="14" t="s">
        <v>13</v>
      </c>
      <c r="K34" s="17">
        <v>1547.9</v>
      </c>
    </row>
    <row r="35" spans="1:11">
      <c r="A35" s="27">
        <v>43895</v>
      </c>
      <c r="B35" s="6" t="s">
        <v>52</v>
      </c>
      <c r="C35" s="7" t="s">
        <v>53</v>
      </c>
      <c r="D35" s="7">
        <v>100</v>
      </c>
      <c r="E35" s="8">
        <v>43887</v>
      </c>
      <c r="F35" s="8">
        <v>43895</v>
      </c>
      <c r="G35" s="9">
        <v>1625.96</v>
      </c>
      <c r="H35" s="9">
        <v>1538</v>
      </c>
      <c r="I35" s="9">
        <v>87.96</v>
      </c>
      <c r="J35" s="7" t="s">
        <v>13</v>
      </c>
      <c r="K35" s="10"/>
    </row>
    <row r="36" spans="1:11">
      <c r="A36" s="24"/>
      <c r="B36" s="11" t="s">
        <v>54</v>
      </c>
      <c r="C36" s="3" t="s">
        <v>55</v>
      </c>
      <c r="D36" s="3">
        <v>10</v>
      </c>
      <c r="E36" s="4">
        <v>43886</v>
      </c>
      <c r="F36" s="4">
        <v>43895</v>
      </c>
      <c r="G36" s="5">
        <v>5462.98</v>
      </c>
      <c r="H36" s="5">
        <v>3766.89</v>
      </c>
      <c r="I36" s="5">
        <v>1696.09</v>
      </c>
      <c r="J36" s="3" t="s">
        <v>13</v>
      </c>
      <c r="K36" s="12"/>
    </row>
    <row r="37" spans="1:11">
      <c r="A37" s="24"/>
      <c r="B37" s="11" t="s">
        <v>56</v>
      </c>
      <c r="C37" s="3" t="s">
        <v>57</v>
      </c>
      <c r="D37" s="3">
        <v>100</v>
      </c>
      <c r="E37" s="4">
        <v>43888</v>
      </c>
      <c r="F37" s="4">
        <v>43895</v>
      </c>
      <c r="G37" s="5">
        <v>236.99</v>
      </c>
      <c r="H37" s="5">
        <v>82.18</v>
      </c>
      <c r="I37" s="5">
        <v>154.81</v>
      </c>
      <c r="J37" s="3" t="s">
        <v>13</v>
      </c>
      <c r="K37" s="12"/>
    </row>
    <row r="38" spans="1:11">
      <c r="A38" s="24"/>
      <c r="B38" s="11" t="s">
        <v>58</v>
      </c>
      <c r="C38" s="3" t="s">
        <v>59</v>
      </c>
      <c r="D38" s="3">
        <v>2</v>
      </c>
      <c r="E38" s="4">
        <v>43881</v>
      </c>
      <c r="F38" s="4">
        <v>43895</v>
      </c>
      <c r="G38" s="5">
        <v>48.02</v>
      </c>
      <c r="H38" s="5">
        <v>46.95</v>
      </c>
      <c r="I38" s="5">
        <v>1.07</v>
      </c>
      <c r="J38" s="3" t="s">
        <v>13</v>
      </c>
      <c r="K38" s="12"/>
    </row>
    <row r="39" spans="1:11">
      <c r="A39" s="24"/>
      <c r="B39" s="11" t="s">
        <v>60</v>
      </c>
      <c r="C39" s="3" t="s">
        <v>61</v>
      </c>
      <c r="D39" s="3">
        <v>1</v>
      </c>
      <c r="E39" s="4">
        <v>43874</v>
      </c>
      <c r="F39" s="4">
        <v>43895</v>
      </c>
      <c r="G39" s="5">
        <v>282.93</v>
      </c>
      <c r="H39" s="5">
        <v>272.24</v>
      </c>
      <c r="I39" s="5">
        <v>10.69</v>
      </c>
      <c r="J39" s="3" t="s">
        <v>13</v>
      </c>
      <c r="K39" s="12"/>
    </row>
    <row r="40" spans="1:11">
      <c r="A40" s="24"/>
      <c r="B40" s="13" t="s">
        <v>62</v>
      </c>
      <c r="C40" s="14" t="s">
        <v>63</v>
      </c>
      <c r="D40" s="14">
        <v>1</v>
      </c>
      <c r="E40" s="15">
        <v>43874</v>
      </c>
      <c r="F40" s="15">
        <v>43895</v>
      </c>
      <c r="G40" s="16">
        <v>136.65</v>
      </c>
      <c r="H40" s="16">
        <v>112.6</v>
      </c>
      <c r="I40" s="16">
        <v>24.05</v>
      </c>
      <c r="J40" s="14" t="s">
        <v>13</v>
      </c>
      <c r="K40" s="17">
        <v>1974.67</v>
      </c>
    </row>
    <row r="41" spans="1:11">
      <c r="A41" s="25">
        <v>43896</v>
      </c>
      <c r="B41" s="6" t="s">
        <v>64</v>
      </c>
      <c r="C41" s="7" t="s">
        <v>65</v>
      </c>
      <c r="D41" s="7">
        <v>20</v>
      </c>
      <c r="E41" s="8">
        <v>43895</v>
      </c>
      <c r="F41" s="8">
        <v>43896</v>
      </c>
      <c r="G41" s="9">
        <v>986.19</v>
      </c>
      <c r="H41" s="9">
        <v>700.78</v>
      </c>
      <c r="I41" s="9">
        <v>285.41000000000003</v>
      </c>
      <c r="J41" s="7" t="s">
        <v>13</v>
      </c>
      <c r="K41" s="10"/>
    </row>
    <row r="42" spans="1:11">
      <c r="A42" s="26"/>
      <c r="B42" s="13" t="s">
        <v>66</v>
      </c>
      <c r="C42" s="14" t="s">
        <v>67</v>
      </c>
      <c r="D42" s="14">
        <v>6</v>
      </c>
      <c r="E42" s="15">
        <v>43895</v>
      </c>
      <c r="F42" s="15">
        <v>43896</v>
      </c>
      <c r="G42" s="16">
        <v>2245.8200000000002</v>
      </c>
      <c r="H42" s="16">
        <v>390.23</v>
      </c>
      <c r="I42" s="16">
        <v>1855.59</v>
      </c>
      <c r="J42" s="14" t="s">
        <v>13</v>
      </c>
      <c r="K42" s="17">
        <v>2141</v>
      </c>
    </row>
    <row r="43" spans="1:11">
      <c r="A43" s="27">
        <v>43899</v>
      </c>
      <c r="B43" s="6" t="s">
        <v>68</v>
      </c>
      <c r="C43" s="7" t="s">
        <v>69</v>
      </c>
      <c r="D43" s="7">
        <v>5</v>
      </c>
      <c r="E43" s="8">
        <v>43895</v>
      </c>
      <c r="F43" s="8">
        <v>43899</v>
      </c>
      <c r="G43" s="9">
        <v>416.55</v>
      </c>
      <c r="H43" s="9">
        <v>6028.44</v>
      </c>
      <c r="I43" s="9">
        <v>-5611.89</v>
      </c>
      <c r="J43" s="7" t="s">
        <v>13</v>
      </c>
      <c r="K43" s="10"/>
    </row>
    <row r="44" spans="1:11">
      <c r="A44" s="24"/>
      <c r="B44" s="11" t="s">
        <v>70</v>
      </c>
      <c r="C44" s="3" t="s">
        <v>71</v>
      </c>
      <c r="D44" s="3">
        <v>5</v>
      </c>
      <c r="E44" s="4">
        <v>43889</v>
      </c>
      <c r="F44" s="4">
        <v>43899</v>
      </c>
      <c r="G44" s="5">
        <v>5731.43</v>
      </c>
      <c r="H44" s="5">
        <v>563.45000000000005</v>
      </c>
      <c r="I44" s="5">
        <v>5167.9799999999996</v>
      </c>
      <c r="J44" s="3" t="s">
        <v>13</v>
      </c>
      <c r="K44" s="12"/>
    </row>
    <row r="45" spans="1:11">
      <c r="A45" s="24"/>
      <c r="B45" s="11" t="s">
        <v>72</v>
      </c>
      <c r="C45" s="3" t="s">
        <v>73</v>
      </c>
      <c r="D45" s="3">
        <v>1</v>
      </c>
      <c r="E45" s="4">
        <v>43889</v>
      </c>
      <c r="F45" s="4">
        <v>43899</v>
      </c>
      <c r="G45" s="5">
        <v>1221.28</v>
      </c>
      <c r="H45" s="5">
        <v>271.69</v>
      </c>
      <c r="I45" s="5">
        <v>949.59</v>
      </c>
      <c r="J45" s="3" t="s">
        <v>13</v>
      </c>
      <c r="K45" s="12"/>
    </row>
    <row r="46" spans="1:11">
      <c r="A46" s="24"/>
      <c r="B46" s="11" t="s">
        <v>72</v>
      </c>
      <c r="C46" s="3" t="s">
        <v>73</v>
      </c>
      <c r="D46" s="3">
        <v>4</v>
      </c>
      <c r="E46" s="4">
        <v>43889</v>
      </c>
      <c r="F46" s="4">
        <v>43899</v>
      </c>
      <c r="G46" s="5">
        <v>5185.13</v>
      </c>
      <c r="H46" s="5">
        <v>1086.75</v>
      </c>
      <c r="I46" s="5">
        <v>4098.38</v>
      </c>
      <c r="J46" s="3" t="s">
        <v>13</v>
      </c>
      <c r="K46" s="12"/>
    </row>
    <row r="47" spans="1:11">
      <c r="A47" s="24"/>
      <c r="B47" s="11" t="s">
        <v>72</v>
      </c>
      <c r="C47" s="3" t="s">
        <v>73</v>
      </c>
      <c r="D47" s="3">
        <v>5</v>
      </c>
      <c r="E47" s="4">
        <v>43889</v>
      </c>
      <c r="F47" s="4">
        <v>43899</v>
      </c>
      <c r="G47" s="5">
        <v>6481.41</v>
      </c>
      <c r="H47" s="5">
        <v>1373.44</v>
      </c>
      <c r="I47" s="5">
        <v>5107.97</v>
      </c>
      <c r="J47" s="3" t="s">
        <v>13</v>
      </c>
      <c r="K47" s="12"/>
    </row>
    <row r="48" spans="1:11">
      <c r="A48" s="24"/>
      <c r="B48" s="11" t="s">
        <v>72</v>
      </c>
      <c r="C48" s="3" t="s">
        <v>73</v>
      </c>
      <c r="D48" s="3">
        <v>5</v>
      </c>
      <c r="E48" s="4">
        <v>43894</v>
      </c>
      <c r="F48" s="4">
        <v>43899</v>
      </c>
      <c r="G48" s="5">
        <v>6481.41</v>
      </c>
      <c r="H48" s="5">
        <v>783.44</v>
      </c>
      <c r="I48" s="5">
        <v>5697.97</v>
      </c>
      <c r="J48" s="3" t="s">
        <v>13</v>
      </c>
      <c r="K48" s="12"/>
    </row>
    <row r="49" spans="1:11">
      <c r="A49" s="24"/>
      <c r="B49" s="11" t="s">
        <v>74</v>
      </c>
      <c r="C49" s="3" t="s">
        <v>75</v>
      </c>
      <c r="D49" s="3">
        <v>1</v>
      </c>
      <c r="E49" s="4">
        <v>43895</v>
      </c>
      <c r="F49" s="4">
        <v>43899</v>
      </c>
      <c r="G49" s="5">
        <v>118.31</v>
      </c>
      <c r="H49" s="5">
        <v>893.69</v>
      </c>
      <c r="I49" s="5">
        <v>-775.38</v>
      </c>
      <c r="J49" s="3" t="s">
        <v>13</v>
      </c>
      <c r="K49" s="12"/>
    </row>
    <row r="50" spans="1:11">
      <c r="A50" s="24"/>
      <c r="B50" s="13" t="s">
        <v>74</v>
      </c>
      <c r="C50" s="14" t="s">
        <v>75</v>
      </c>
      <c r="D50" s="14">
        <v>14</v>
      </c>
      <c r="E50" s="15">
        <v>43895</v>
      </c>
      <c r="F50" s="15">
        <v>43899</v>
      </c>
      <c r="G50" s="16">
        <v>1656.32</v>
      </c>
      <c r="H50" s="16">
        <v>13477.64</v>
      </c>
      <c r="I50" s="16">
        <v>-11821.32</v>
      </c>
      <c r="J50" s="14" t="s">
        <v>13</v>
      </c>
      <c r="K50" s="17">
        <v>8835.42</v>
      </c>
    </row>
    <row r="51" spans="1:11">
      <c r="A51" s="27">
        <v>43900</v>
      </c>
      <c r="B51" s="6" t="s">
        <v>76</v>
      </c>
      <c r="C51" s="7" t="s">
        <v>77</v>
      </c>
      <c r="D51" s="7">
        <v>2</v>
      </c>
      <c r="E51" s="8">
        <v>43896</v>
      </c>
      <c r="F51" s="8">
        <v>43900</v>
      </c>
      <c r="G51" s="9">
        <v>138.62</v>
      </c>
      <c r="H51" s="9">
        <v>70.08</v>
      </c>
      <c r="I51" s="9">
        <v>68.540000000000006</v>
      </c>
      <c r="J51" s="7" t="s">
        <v>13</v>
      </c>
      <c r="K51" s="10"/>
    </row>
    <row r="52" spans="1:11">
      <c r="A52" s="24"/>
      <c r="B52" s="11" t="s">
        <v>76</v>
      </c>
      <c r="C52" s="3" t="s">
        <v>77</v>
      </c>
      <c r="D52" s="3">
        <v>8</v>
      </c>
      <c r="E52" s="4">
        <v>43896</v>
      </c>
      <c r="F52" s="4">
        <v>43900</v>
      </c>
      <c r="G52" s="5">
        <v>554.47</v>
      </c>
      <c r="H52" s="5">
        <v>320.31</v>
      </c>
      <c r="I52" s="5">
        <v>234.16</v>
      </c>
      <c r="J52" s="3" t="s">
        <v>13</v>
      </c>
      <c r="K52" s="12"/>
    </row>
    <row r="53" spans="1:11">
      <c r="A53" s="24"/>
      <c r="B53" s="11" t="s">
        <v>68</v>
      </c>
      <c r="C53" s="3" t="s">
        <v>69</v>
      </c>
      <c r="D53" s="3">
        <v>10</v>
      </c>
      <c r="E53" s="4">
        <v>43895</v>
      </c>
      <c r="F53" s="4">
        <v>43900</v>
      </c>
      <c r="G53" s="5">
        <v>833.09</v>
      </c>
      <c r="H53" s="5">
        <v>9366.89</v>
      </c>
      <c r="I53" s="5">
        <v>-8533.7999999999993</v>
      </c>
      <c r="J53" s="3" t="s">
        <v>13</v>
      </c>
      <c r="K53" s="12"/>
    </row>
    <row r="54" spans="1:11">
      <c r="A54" s="24"/>
      <c r="B54" s="11" t="s">
        <v>70</v>
      </c>
      <c r="C54" s="3" t="s">
        <v>71</v>
      </c>
      <c r="D54" s="3">
        <v>5</v>
      </c>
      <c r="E54" s="4">
        <v>43889</v>
      </c>
      <c r="F54" s="4">
        <v>43900</v>
      </c>
      <c r="G54" s="5">
        <v>4336.46</v>
      </c>
      <c r="H54" s="5">
        <v>563.44000000000005</v>
      </c>
      <c r="I54" s="5">
        <v>3773.02</v>
      </c>
      <c r="J54" s="3" t="s">
        <v>13</v>
      </c>
      <c r="K54" s="12"/>
    </row>
    <row r="55" spans="1:11">
      <c r="A55" s="24"/>
      <c r="B55" s="11" t="s">
        <v>70</v>
      </c>
      <c r="C55" s="3" t="s">
        <v>71</v>
      </c>
      <c r="D55" s="3">
        <v>15</v>
      </c>
      <c r="E55" s="4">
        <v>43894</v>
      </c>
      <c r="F55" s="4">
        <v>43900</v>
      </c>
      <c r="G55" s="5">
        <v>13009.37</v>
      </c>
      <c r="H55" s="5">
        <v>745.34</v>
      </c>
      <c r="I55" s="5">
        <v>12264.03</v>
      </c>
      <c r="J55" s="3" t="s">
        <v>13</v>
      </c>
      <c r="K55" s="12"/>
    </row>
    <row r="56" spans="1:11">
      <c r="A56" s="24"/>
      <c r="B56" s="11" t="s">
        <v>78</v>
      </c>
      <c r="C56" s="3" t="s">
        <v>79</v>
      </c>
      <c r="D56" s="3">
        <v>10</v>
      </c>
      <c r="E56" s="4">
        <v>43895</v>
      </c>
      <c r="F56" s="4">
        <v>43900</v>
      </c>
      <c r="G56" s="5">
        <v>1263.08</v>
      </c>
      <c r="H56" s="5">
        <v>6556.89</v>
      </c>
      <c r="I56" s="5">
        <v>-5293.81</v>
      </c>
      <c r="J56" s="3" t="s">
        <v>13</v>
      </c>
      <c r="K56" s="12"/>
    </row>
    <row r="57" spans="1:11">
      <c r="A57" s="24"/>
      <c r="B57" s="13" t="s">
        <v>80</v>
      </c>
      <c r="C57" s="14" t="s">
        <v>81</v>
      </c>
      <c r="D57" s="14">
        <v>10</v>
      </c>
      <c r="E57" s="15">
        <v>43899</v>
      </c>
      <c r="F57" s="15">
        <v>43900</v>
      </c>
      <c r="G57" s="16">
        <v>2573.0500000000002</v>
      </c>
      <c r="H57" s="16">
        <v>2126.89</v>
      </c>
      <c r="I57" s="16">
        <v>446.16</v>
      </c>
      <c r="J57" s="14" t="s">
        <v>13</v>
      </c>
      <c r="K57" s="17">
        <f>SUM(I51:I57)</f>
        <v>2958.300000000002</v>
      </c>
    </row>
    <row r="58" spans="1:11">
      <c r="A58" s="25">
        <v>43901</v>
      </c>
      <c r="B58" s="6" t="s">
        <v>82</v>
      </c>
      <c r="C58" s="7" t="s">
        <v>83</v>
      </c>
      <c r="D58" s="7">
        <v>1</v>
      </c>
      <c r="E58" s="8">
        <v>43874</v>
      </c>
      <c r="F58" s="8">
        <v>43901</v>
      </c>
      <c r="G58" s="9">
        <v>139.78</v>
      </c>
      <c r="H58" s="9">
        <v>142.72999999999999</v>
      </c>
      <c r="I58" s="9">
        <v>-2.95</v>
      </c>
      <c r="J58" s="7" t="s">
        <v>13</v>
      </c>
      <c r="K58" s="10"/>
    </row>
    <row r="59" spans="1:11">
      <c r="A59" s="26"/>
      <c r="B59" s="13" t="s">
        <v>84</v>
      </c>
      <c r="C59" s="14" t="s">
        <v>85</v>
      </c>
      <c r="D59" s="14">
        <v>1</v>
      </c>
      <c r="E59" s="15">
        <v>43874</v>
      </c>
      <c r="F59" s="15">
        <v>43901</v>
      </c>
      <c r="G59" s="16">
        <v>115.97</v>
      </c>
      <c r="H59" s="16">
        <v>117.16</v>
      </c>
      <c r="I59" s="16">
        <v>-1.19</v>
      </c>
      <c r="J59" s="14" t="s">
        <v>13</v>
      </c>
      <c r="K59" s="17">
        <v>-4.1399999999999997</v>
      </c>
    </row>
    <row r="60" spans="1:11">
      <c r="A60" s="20">
        <v>43902</v>
      </c>
      <c r="B60" t="s">
        <v>86</v>
      </c>
      <c r="C60" t="s">
        <v>87</v>
      </c>
      <c r="D60">
        <v>10</v>
      </c>
      <c r="E60" s="1">
        <v>43895</v>
      </c>
      <c r="F60" s="1">
        <v>43902</v>
      </c>
      <c r="G60" s="2">
        <v>1973.06</v>
      </c>
      <c r="H60" s="2">
        <v>696.89</v>
      </c>
      <c r="I60" s="2">
        <v>1276.17</v>
      </c>
      <c r="J60" t="s">
        <v>13</v>
      </c>
      <c r="K60" s="2">
        <v>1276.17</v>
      </c>
    </row>
    <row r="61" spans="1:11" ht="15" customHeight="1">
      <c r="A61" s="25">
        <v>43903</v>
      </c>
      <c r="B61" s="6" t="s">
        <v>88</v>
      </c>
      <c r="C61" s="7" t="s">
        <v>89</v>
      </c>
      <c r="D61" s="7">
        <v>4</v>
      </c>
      <c r="E61" s="8">
        <v>43901</v>
      </c>
      <c r="F61" s="8">
        <v>43903</v>
      </c>
      <c r="G61" s="9">
        <v>1597.2</v>
      </c>
      <c r="H61" s="9">
        <v>1202.76</v>
      </c>
      <c r="I61" s="9">
        <v>394.44</v>
      </c>
      <c r="J61" s="7" t="s">
        <v>13</v>
      </c>
      <c r="K61" s="10"/>
    </row>
    <row r="62" spans="1:11">
      <c r="A62" s="26"/>
      <c r="B62" s="11" t="s">
        <v>90</v>
      </c>
      <c r="C62" s="3" t="s">
        <v>91</v>
      </c>
      <c r="D62" s="3">
        <v>10</v>
      </c>
      <c r="E62" s="4">
        <v>43899</v>
      </c>
      <c r="F62" s="4">
        <v>43903</v>
      </c>
      <c r="G62" s="5">
        <v>7542.94</v>
      </c>
      <c r="H62" s="5">
        <v>4086.89</v>
      </c>
      <c r="I62" s="5">
        <v>3456.05</v>
      </c>
      <c r="J62" s="3" t="s">
        <v>13</v>
      </c>
      <c r="K62" s="12"/>
    </row>
    <row r="63" spans="1:11">
      <c r="A63" s="29"/>
      <c r="B63" s="13" t="s">
        <v>92</v>
      </c>
      <c r="C63" s="14" t="s">
        <v>93</v>
      </c>
      <c r="D63" s="14">
        <v>10</v>
      </c>
      <c r="E63" s="15">
        <v>43902</v>
      </c>
      <c r="F63" s="15">
        <v>43903</v>
      </c>
      <c r="G63" s="16">
        <v>4243.01</v>
      </c>
      <c r="H63" s="16">
        <v>3176.89</v>
      </c>
      <c r="I63" s="16">
        <v>1066.1199999999999</v>
      </c>
      <c r="J63" s="14" t="s">
        <v>13</v>
      </c>
      <c r="K63" s="17">
        <v>4916.6099999999997</v>
      </c>
    </row>
    <row r="64" spans="1:11">
      <c r="A64" s="27">
        <v>43906</v>
      </c>
      <c r="B64" s="6" t="s">
        <v>94</v>
      </c>
      <c r="C64" s="7" t="s">
        <v>95</v>
      </c>
      <c r="D64" s="7">
        <v>100</v>
      </c>
      <c r="E64" s="8">
        <v>43889</v>
      </c>
      <c r="F64" s="8">
        <v>43906</v>
      </c>
      <c r="G64" s="9">
        <v>415.99</v>
      </c>
      <c r="H64" s="9">
        <v>391.67</v>
      </c>
      <c r="I64" s="9">
        <v>24.32</v>
      </c>
      <c r="J64" s="7" t="s">
        <v>13</v>
      </c>
      <c r="K64" s="10"/>
    </row>
    <row r="65" spans="1:11">
      <c r="A65" s="24"/>
      <c r="B65" s="11" t="s">
        <v>96</v>
      </c>
      <c r="C65" s="3" t="s">
        <v>97</v>
      </c>
      <c r="D65" s="3">
        <v>16</v>
      </c>
      <c r="E65" s="4">
        <v>43888</v>
      </c>
      <c r="F65" s="4">
        <v>43906</v>
      </c>
      <c r="G65" s="5">
        <v>737.02</v>
      </c>
      <c r="H65" s="5">
        <v>714.18</v>
      </c>
      <c r="I65" s="5">
        <v>22.84</v>
      </c>
      <c r="J65" s="3" t="s">
        <v>13</v>
      </c>
    </row>
    <row r="66" spans="1:11">
      <c r="A66" s="24"/>
      <c r="B66" s="11" t="s">
        <v>96</v>
      </c>
      <c r="C66" s="3" t="s">
        <v>97</v>
      </c>
      <c r="D66" s="3">
        <v>60</v>
      </c>
      <c r="E66" s="4">
        <v>43888</v>
      </c>
      <c r="F66" s="4">
        <v>43906</v>
      </c>
      <c r="G66" s="5">
        <v>2747.69</v>
      </c>
      <c r="H66" s="5">
        <v>3176.33</v>
      </c>
      <c r="I66" s="5">
        <v>-428.64</v>
      </c>
      <c r="J66" s="3" t="s">
        <v>13</v>
      </c>
      <c r="K66" s="12"/>
    </row>
    <row r="67" spans="1:11">
      <c r="A67" s="24"/>
      <c r="B67" s="13" t="s">
        <v>96</v>
      </c>
      <c r="C67" s="14" t="s">
        <v>97</v>
      </c>
      <c r="D67" s="14">
        <v>24</v>
      </c>
      <c r="E67" s="15">
        <v>43902</v>
      </c>
      <c r="F67" s="15">
        <v>43906</v>
      </c>
      <c r="G67" s="16">
        <v>1099.08</v>
      </c>
      <c r="H67" s="16">
        <v>899.83</v>
      </c>
      <c r="I67" s="16">
        <v>199.25</v>
      </c>
      <c r="J67" s="14" t="s">
        <v>13</v>
      </c>
      <c r="K67" s="18">
        <v>-182.23</v>
      </c>
    </row>
    <row r="68" spans="1:11">
      <c r="A68" s="25">
        <v>43907</v>
      </c>
      <c r="B68" t="s">
        <v>98</v>
      </c>
      <c r="C68" t="s">
        <v>99</v>
      </c>
      <c r="D68">
        <v>1</v>
      </c>
      <c r="E68" s="1">
        <v>43901</v>
      </c>
      <c r="F68" s="1">
        <v>43907</v>
      </c>
      <c r="G68" s="2">
        <v>879.29</v>
      </c>
      <c r="H68" s="2">
        <v>570.69000000000005</v>
      </c>
      <c r="I68" s="2">
        <v>308.60000000000002</v>
      </c>
      <c r="J68" t="s">
        <v>13</v>
      </c>
    </row>
    <row r="69" spans="1:11">
      <c r="A69" s="26"/>
      <c r="B69" t="s">
        <v>100</v>
      </c>
      <c r="C69" t="s">
        <v>101</v>
      </c>
      <c r="D69">
        <v>43</v>
      </c>
      <c r="E69" s="1">
        <v>43907</v>
      </c>
      <c r="F69" s="1">
        <v>43907</v>
      </c>
      <c r="G69" s="2">
        <v>8570.17</v>
      </c>
      <c r="H69" s="2">
        <v>4329.62</v>
      </c>
      <c r="I69" s="2">
        <v>4240.55</v>
      </c>
      <c r="J69" t="s">
        <v>13</v>
      </c>
      <c r="K69" s="2">
        <v>5756.35</v>
      </c>
    </row>
    <row r="70" spans="1:11">
      <c r="A70" s="27">
        <v>43908</v>
      </c>
      <c r="B70" s="6" t="s">
        <v>102</v>
      </c>
      <c r="C70" s="7" t="s">
        <v>103</v>
      </c>
      <c r="D70" s="7">
        <v>10</v>
      </c>
      <c r="E70" s="8">
        <v>43901</v>
      </c>
      <c r="F70" s="8">
        <v>43908</v>
      </c>
      <c r="G70" s="9">
        <v>6692.96</v>
      </c>
      <c r="H70" s="9">
        <v>1666.89</v>
      </c>
      <c r="I70" s="9">
        <v>5026.07</v>
      </c>
      <c r="J70" s="7" t="s">
        <v>13</v>
      </c>
      <c r="K70" s="10"/>
    </row>
    <row r="71" spans="1:11">
      <c r="A71" s="24"/>
      <c r="B71" s="11" t="s">
        <v>104</v>
      </c>
      <c r="C71" s="3" t="s">
        <v>105</v>
      </c>
      <c r="D71" s="3">
        <v>1</v>
      </c>
      <c r="E71" s="4">
        <v>43887</v>
      </c>
      <c r="F71" s="4">
        <v>43908</v>
      </c>
      <c r="G71" s="5">
        <v>298.3</v>
      </c>
      <c r="H71" s="5">
        <v>420.69</v>
      </c>
      <c r="I71" s="5">
        <v>-122.39</v>
      </c>
      <c r="J71" s="3" t="s">
        <v>13</v>
      </c>
      <c r="K71" s="12"/>
    </row>
    <row r="72" spans="1:11">
      <c r="A72" s="24"/>
      <c r="B72" s="11" t="s">
        <v>104</v>
      </c>
      <c r="C72" s="3" t="s">
        <v>105</v>
      </c>
      <c r="D72" s="3">
        <v>1</v>
      </c>
      <c r="E72" s="4">
        <v>43887</v>
      </c>
      <c r="F72" s="4">
        <v>43908</v>
      </c>
      <c r="G72" s="5">
        <v>298.3</v>
      </c>
      <c r="H72" s="5">
        <v>410.69</v>
      </c>
      <c r="I72" s="5">
        <v>-112.39</v>
      </c>
      <c r="J72" s="3" t="s">
        <v>13</v>
      </c>
      <c r="K72" s="12"/>
    </row>
    <row r="73" spans="1:11">
      <c r="A73" s="24"/>
      <c r="B73" s="11" t="s">
        <v>104</v>
      </c>
      <c r="C73" s="3" t="s">
        <v>105</v>
      </c>
      <c r="D73" s="3">
        <v>1</v>
      </c>
      <c r="E73" s="4">
        <v>43887</v>
      </c>
      <c r="F73" s="4">
        <v>43908</v>
      </c>
      <c r="G73" s="5">
        <v>298.3</v>
      </c>
      <c r="H73" s="5">
        <v>420.69</v>
      </c>
      <c r="I73" s="5">
        <v>-122.39</v>
      </c>
      <c r="J73" s="3" t="s">
        <v>13</v>
      </c>
      <c r="K73" s="12"/>
    </row>
    <row r="74" spans="1:11">
      <c r="A74" s="24"/>
      <c r="B74" s="11" t="s">
        <v>104</v>
      </c>
      <c r="C74" s="3" t="s">
        <v>105</v>
      </c>
      <c r="D74" s="3">
        <v>2</v>
      </c>
      <c r="E74" s="4">
        <v>43887</v>
      </c>
      <c r="F74" s="4">
        <v>43908</v>
      </c>
      <c r="G74" s="5">
        <v>596.61</v>
      </c>
      <c r="H74" s="5">
        <v>841.38</v>
      </c>
      <c r="I74" s="5">
        <v>-244.77</v>
      </c>
      <c r="J74" s="3" t="s">
        <v>13</v>
      </c>
      <c r="K74" s="12"/>
    </row>
    <row r="75" spans="1:11">
      <c r="A75" s="24"/>
      <c r="B75" s="11" t="s">
        <v>104</v>
      </c>
      <c r="C75" s="3" t="s">
        <v>105</v>
      </c>
      <c r="D75" s="3">
        <v>5</v>
      </c>
      <c r="E75" s="4">
        <v>43887</v>
      </c>
      <c r="F75" s="4">
        <v>43908</v>
      </c>
      <c r="G75" s="5">
        <v>1491.52</v>
      </c>
      <c r="H75" s="5">
        <v>2103.44</v>
      </c>
      <c r="I75" s="5">
        <v>-611.91999999999996</v>
      </c>
      <c r="J75" s="3" t="s">
        <v>13</v>
      </c>
      <c r="K75" s="12"/>
    </row>
    <row r="76" spans="1:11">
      <c r="A76" s="24"/>
      <c r="B76" s="11" t="s">
        <v>104</v>
      </c>
      <c r="C76" s="3" t="s">
        <v>105</v>
      </c>
      <c r="D76" s="3">
        <v>1</v>
      </c>
      <c r="E76" s="4">
        <v>43889</v>
      </c>
      <c r="F76" s="4">
        <v>43908</v>
      </c>
      <c r="G76" s="5">
        <v>298.3</v>
      </c>
      <c r="H76" s="5">
        <v>145.69</v>
      </c>
      <c r="I76" s="5">
        <v>152.61000000000001</v>
      </c>
      <c r="J76" s="3" t="s">
        <v>13</v>
      </c>
      <c r="K76" s="12"/>
    </row>
    <row r="77" spans="1:11">
      <c r="A77" s="24"/>
      <c r="B77" s="11" t="s">
        <v>104</v>
      </c>
      <c r="C77" s="3" t="s">
        <v>105</v>
      </c>
      <c r="D77" s="3">
        <v>4</v>
      </c>
      <c r="E77" s="4">
        <v>43889</v>
      </c>
      <c r="F77" s="4">
        <v>43908</v>
      </c>
      <c r="G77" s="5">
        <v>1193.22</v>
      </c>
      <c r="H77" s="5">
        <v>582.76</v>
      </c>
      <c r="I77" s="5">
        <v>610.46</v>
      </c>
      <c r="J77" s="3" t="s">
        <v>13</v>
      </c>
      <c r="K77" s="12"/>
    </row>
    <row r="78" spans="1:11">
      <c r="A78" s="24"/>
      <c r="B78" s="11" t="s">
        <v>104</v>
      </c>
      <c r="C78" s="3" t="s">
        <v>105</v>
      </c>
      <c r="D78" s="3">
        <v>2</v>
      </c>
      <c r="E78" s="4">
        <v>43893</v>
      </c>
      <c r="F78" s="4">
        <v>43908</v>
      </c>
      <c r="G78" s="5">
        <v>596.61</v>
      </c>
      <c r="H78" s="5">
        <v>381.38</v>
      </c>
      <c r="I78" s="5">
        <v>215.23</v>
      </c>
      <c r="J78" s="3" t="s">
        <v>13</v>
      </c>
      <c r="K78" s="12"/>
    </row>
    <row r="79" spans="1:11">
      <c r="A79" s="24"/>
      <c r="B79" s="11" t="s">
        <v>104</v>
      </c>
      <c r="C79" s="3" t="s">
        <v>105</v>
      </c>
      <c r="D79" s="3">
        <v>3</v>
      </c>
      <c r="E79" s="4">
        <v>43894</v>
      </c>
      <c r="F79" s="4">
        <v>43908</v>
      </c>
      <c r="G79" s="5">
        <v>894.91</v>
      </c>
      <c r="H79" s="5">
        <v>512.07000000000005</v>
      </c>
      <c r="I79" s="5">
        <v>382.84</v>
      </c>
      <c r="J79" s="3" t="s">
        <v>13</v>
      </c>
      <c r="K79" s="12"/>
    </row>
    <row r="80" spans="1:11">
      <c r="A80" s="24"/>
      <c r="B80" s="11" t="s">
        <v>104</v>
      </c>
      <c r="C80" s="3" t="s">
        <v>105</v>
      </c>
      <c r="D80" s="3">
        <v>1</v>
      </c>
      <c r="E80" s="4">
        <v>43896</v>
      </c>
      <c r="F80" s="4">
        <v>43908</v>
      </c>
      <c r="G80" s="5">
        <v>298.3</v>
      </c>
      <c r="H80" s="5">
        <v>307.69</v>
      </c>
      <c r="I80" s="5">
        <v>-9.39</v>
      </c>
      <c r="J80" s="3" t="s">
        <v>13</v>
      </c>
      <c r="K80" s="12"/>
    </row>
    <row r="81" spans="1:11">
      <c r="A81" s="24"/>
      <c r="B81" s="11" t="s">
        <v>104</v>
      </c>
      <c r="C81" s="3" t="s">
        <v>105</v>
      </c>
      <c r="D81" s="3">
        <v>4</v>
      </c>
      <c r="E81" s="4">
        <v>43899</v>
      </c>
      <c r="F81" s="4">
        <v>43908</v>
      </c>
      <c r="G81" s="5">
        <v>1193.22</v>
      </c>
      <c r="H81" s="5">
        <v>402.76</v>
      </c>
      <c r="I81" s="5">
        <v>790.46</v>
      </c>
      <c r="J81" s="3" t="s">
        <v>13</v>
      </c>
      <c r="K81" s="12"/>
    </row>
    <row r="82" spans="1:11">
      <c r="A82" s="24"/>
      <c r="B82" s="11" t="s">
        <v>104</v>
      </c>
      <c r="C82" s="3" t="s">
        <v>105</v>
      </c>
      <c r="D82" s="3">
        <v>2</v>
      </c>
      <c r="E82" s="4">
        <v>43901</v>
      </c>
      <c r="F82" s="4">
        <v>43908</v>
      </c>
      <c r="G82" s="5">
        <v>596.61</v>
      </c>
      <c r="H82" s="5">
        <v>141.38</v>
      </c>
      <c r="I82" s="5">
        <v>455.23</v>
      </c>
      <c r="J82" s="3" t="s">
        <v>13</v>
      </c>
      <c r="K82" s="12"/>
    </row>
    <row r="83" spans="1:11">
      <c r="A83" s="24"/>
      <c r="B83" s="11" t="s">
        <v>104</v>
      </c>
      <c r="C83" s="3" t="s">
        <v>105</v>
      </c>
      <c r="D83" s="3">
        <v>3</v>
      </c>
      <c r="E83" s="4">
        <v>43901</v>
      </c>
      <c r="F83" s="4">
        <v>43908</v>
      </c>
      <c r="G83" s="5">
        <v>894.91</v>
      </c>
      <c r="H83" s="5">
        <v>272.07</v>
      </c>
      <c r="I83" s="5">
        <v>622.84</v>
      </c>
      <c r="J83" s="3" t="s">
        <v>13</v>
      </c>
      <c r="K83" s="12"/>
    </row>
    <row r="84" spans="1:11">
      <c r="A84" s="24"/>
      <c r="B84" s="11" t="s">
        <v>104</v>
      </c>
      <c r="C84" s="3" t="s">
        <v>105</v>
      </c>
      <c r="D84" s="3">
        <v>3</v>
      </c>
      <c r="E84" s="4">
        <v>43901</v>
      </c>
      <c r="F84" s="4">
        <v>43908</v>
      </c>
      <c r="G84" s="5">
        <v>894.93</v>
      </c>
      <c r="H84" s="5">
        <v>257.07</v>
      </c>
      <c r="I84" s="5">
        <v>637.86</v>
      </c>
      <c r="J84" s="3" t="s">
        <v>13</v>
      </c>
      <c r="K84" s="12"/>
    </row>
    <row r="85" spans="1:11">
      <c r="A85" s="28"/>
      <c r="B85" s="13" t="s">
        <v>106</v>
      </c>
      <c r="C85" s="14" t="s">
        <v>107</v>
      </c>
      <c r="D85" s="14">
        <v>1</v>
      </c>
      <c r="E85" s="15">
        <v>43906</v>
      </c>
      <c r="F85" s="15">
        <v>43908</v>
      </c>
      <c r="G85" s="16">
        <v>1559.27</v>
      </c>
      <c r="H85" s="16">
        <v>612.69000000000005</v>
      </c>
      <c r="I85" s="16">
        <v>946.58</v>
      </c>
      <c r="J85" s="14" t="s">
        <v>13</v>
      </c>
      <c r="K85" s="17">
        <v>8616.93</v>
      </c>
    </row>
    <row r="86" spans="1:11">
      <c r="F86" t="s">
        <v>108</v>
      </c>
      <c r="G86" s="2">
        <v>0</v>
      </c>
      <c r="H86" s="2">
        <v>-5611.89</v>
      </c>
      <c r="I86" s="2">
        <v>5611.89</v>
      </c>
      <c r="J86" t="s">
        <v>13</v>
      </c>
    </row>
    <row r="87" spans="1:11">
      <c r="F87" t="s">
        <v>108</v>
      </c>
      <c r="G87" s="2">
        <v>0</v>
      </c>
      <c r="H87" s="2">
        <v>-322.38</v>
      </c>
      <c r="I87" s="2">
        <v>322.38</v>
      </c>
      <c r="J87" t="s">
        <v>13</v>
      </c>
    </row>
    <row r="88" spans="1:11">
      <c r="F88" t="s">
        <v>108</v>
      </c>
      <c r="G88" s="2">
        <v>0</v>
      </c>
      <c r="H88" s="2">
        <v>-114.3</v>
      </c>
      <c r="I88" s="2">
        <v>114.3</v>
      </c>
      <c r="J88" t="s">
        <v>13</v>
      </c>
    </row>
    <row r="89" spans="1:11">
      <c r="A89" s="21">
        <v>43909</v>
      </c>
      <c r="B89" s="7" t="s">
        <v>70</v>
      </c>
      <c r="C89" s="7" t="s">
        <v>71</v>
      </c>
      <c r="D89" s="7">
        <v>5</v>
      </c>
      <c r="E89" s="8">
        <v>43894</v>
      </c>
      <c r="F89" s="8">
        <v>43909</v>
      </c>
      <c r="G89" s="9">
        <v>22926.05</v>
      </c>
      <c r="H89" s="9">
        <v>248.44</v>
      </c>
      <c r="I89" s="9">
        <v>22677.61</v>
      </c>
      <c r="J89" s="7"/>
      <c r="K89" s="10"/>
    </row>
    <row r="90" spans="1:11">
      <c r="A90" s="22"/>
      <c r="B90" s="3" t="s">
        <v>70</v>
      </c>
      <c r="C90" s="3" t="s">
        <v>71</v>
      </c>
      <c r="D90" s="3">
        <v>5</v>
      </c>
      <c r="E90" s="4">
        <v>43895</v>
      </c>
      <c r="F90" s="4">
        <v>43909</v>
      </c>
      <c r="G90" s="5">
        <v>22926.04</v>
      </c>
      <c r="H90" s="5">
        <v>938.45</v>
      </c>
      <c r="I90" s="5">
        <v>21987.59</v>
      </c>
      <c r="J90" s="3"/>
      <c r="K90" s="12"/>
    </row>
    <row r="91" spans="1:11">
      <c r="A91" s="22"/>
      <c r="B91" s="3" t="s">
        <v>78</v>
      </c>
      <c r="C91" s="3" t="s">
        <v>79</v>
      </c>
      <c r="D91" s="3">
        <v>10</v>
      </c>
      <c r="E91" s="4">
        <v>43895</v>
      </c>
      <c r="F91" s="4">
        <v>43909</v>
      </c>
      <c r="G91" s="5">
        <v>1263.08</v>
      </c>
      <c r="H91" s="5">
        <v>41056.89</v>
      </c>
      <c r="I91" s="5">
        <v>-39793.81</v>
      </c>
      <c r="J91" s="3"/>
      <c r="K91" s="12"/>
    </row>
    <row r="92" spans="1:11">
      <c r="A92" s="22"/>
      <c r="B92" s="3" t="s">
        <v>109</v>
      </c>
      <c r="C92" s="3" t="s">
        <v>110</v>
      </c>
      <c r="D92" s="3">
        <v>10</v>
      </c>
      <c r="E92" s="4">
        <v>43888</v>
      </c>
      <c r="F92" s="4">
        <v>43909</v>
      </c>
      <c r="G92" s="5">
        <v>62581.72</v>
      </c>
      <c r="H92" s="5">
        <v>3136.89</v>
      </c>
      <c r="I92" s="5">
        <v>59444.83</v>
      </c>
      <c r="J92" s="3"/>
      <c r="K92" s="12"/>
    </row>
    <row r="93" spans="1:11">
      <c r="A93" s="22"/>
      <c r="B93" s="3" t="s">
        <v>28</v>
      </c>
      <c r="C93" s="3" t="s">
        <v>29</v>
      </c>
      <c r="D93" s="3">
        <v>4</v>
      </c>
      <c r="E93" s="4">
        <v>43886</v>
      </c>
      <c r="F93" s="4">
        <v>43909</v>
      </c>
      <c r="G93" s="5">
        <v>673.23</v>
      </c>
      <c r="H93" s="5">
        <v>23514.76</v>
      </c>
      <c r="I93" s="5">
        <v>-22841.53</v>
      </c>
      <c r="J93" s="3"/>
      <c r="K93" s="12"/>
    </row>
    <row r="94" spans="1:11">
      <c r="A94" s="22"/>
      <c r="B94" s="3" t="s">
        <v>28</v>
      </c>
      <c r="C94" s="3" t="s">
        <v>29</v>
      </c>
      <c r="D94" s="3">
        <v>1</v>
      </c>
      <c r="E94" s="4">
        <v>43886</v>
      </c>
      <c r="F94" s="4">
        <v>43909</v>
      </c>
      <c r="G94" s="5">
        <v>422.3</v>
      </c>
      <c r="H94" s="5">
        <v>6201.07</v>
      </c>
      <c r="I94" s="5">
        <v>-5778.77</v>
      </c>
      <c r="J94" s="3"/>
      <c r="K94" s="12"/>
    </row>
    <row r="95" spans="1:11">
      <c r="A95" s="23"/>
      <c r="B95" s="14" t="s">
        <v>28</v>
      </c>
      <c r="C95" s="14" t="s">
        <v>29</v>
      </c>
      <c r="D95" s="14">
        <v>5</v>
      </c>
      <c r="E95" s="15">
        <v>43894</v>
      </c>
      <c r="F95" s="15">
        <v>43909</v>
      </c>
      <c r="G95" s="16">
        <v>1301.53</v>
      </c>
      <c r="H95" s="16">
        <v>29393.439999999999</v>
      </c>
      <c r="I95" s="16">
        <v>-28091.91</v>
      </c>
      <c r="J95" s="14"/>
      <c r="K95" s="17">
        <f>SUM(I89:I95)</f>
        <v>7604.0099999999984</v>
      </c>
    </row>
    <row r="96" spans="1:11">
      <c r="A96" s="21">
        <v>43910</v>
      </c>
      <c r="B96" s="7" t="s">
        <v>111</v>
      </c>
      <c r="C96" s="7" t="s">
        <v>112</v>
      </c>
      <c r="D96" s="7">
        <v>10</v>
      </c>
      <c r="E96" s="8">
        <v>43895</v>
      </c>
      <c r="F96" s="8">
        <v>43910</v>
      </c>
      <c r="G96" s="9">
        <v>0</v>
      </c>
      <c r="H96" s="9">
        <v>4156.8900000000003</v>
      </c>
      <c r="I96" s="9">
        <v>-4156.8900000000003</v>
      </c>
      <c r="J96" s="7"/>
      <c r="K96" s="10"/>
    </row>
    <row r="97" spans="1:11">
      <c r="A97" s="22"/>
      <c r="B97" s="3" t="s">
        <v>113</v>
      </c>
      <c r="C97" s="3" t="s">
        <v>114</v>
      </c>
      <c r="D97" s="3">
        <v>5</v>
      </c>
      <c r="E97" s="4">
        <v>43907</v>
      </c>
      <c r="F97" s="4">
        <v>43910</v>
      </c>
      <c r="G97" s="5">
        <v>396.55</v>
      </c>
      <c r="H97" s="5">
        <v>50.19</v>
      </c>
      <c r="I97" s="5">
        <v>346.36</v>
      </c>
      <c r="J97" s="3"/>
      <c r="K97" s="12"/>
    </row>
    <row r="98" spans="1:11">
      <c r="A98" s="22"/>
      <c r="B98" s="3" t="s">
        <v>115</v>
      </c>
      <c r="C98" s="3" t="s">
        <v>116</v>
      </c>
      <c r="D98" s="3">
        <v>3</v>
      </c>
      <c r="E98" s="4">
        <v>43907</v>
      </c>
      <c r="F98" s="4">
        <v>43910</v>
      </c>
      <c r="G98" s="5">
        <v>1017.9</v>
      </c>
      <c r="H98" s="5">
        <v>3.12</v>
      </c>
      <c r="I98" s="5">
        <v>1014.78</v>
      </c>
      <c r="J98" s="3"/>
      <c r="K98" s="12"/>
    </row>
    <row r="99" spans="1:11">
      <c r="A99" s="22"/>
      <c r="B99" s="3" t="s">
        <v>117</v>
      </c>
      <c r="C99" s="3" t="s">
        <v>118</v>
      </c>
      <c r="D99" s="3">
        <v>10</v>
      </c>
      <c r="E99" s="4">
        <v>43896</v>
      </c>
      <c r="F99" s="4">
        <v>43910</v>
      </c>
      <c r="G99" s="5">
        <v>0</v>
      </c>
      <c r="H99" s="5">
        <v>2036.89</v>
      </c>
      <c r="I99" s="5">
        <v>-2036.89</v>
      </c>
      <c r="J99" s="3"/>
      <c r="K99" s="12"/>
    </row>
    <row r="100" spans="1:11">
      <c r="A100" s="22"/>
      <c r="B100" s="3" t="s">
        <v>119</v>
      </c>
      <c r="C100" s="3" t="s">
        <v>120</v>
      </c>
      <c r="D100" s="3">
        <v>20</v>
      </c>
      <c r="E100" s="4">
        <v>43908</v>
      </c>
      <c r="F100" s="4">
        <v>43910</v>
      </c>
      <c r="G100" s="5">
        <v>786.2</v>
      </c>
      <c r="H100" s="5">
        <v>0</v>
      </c>
      <c r="I100" s="5">
        <v>786.2</v>
      </c>
      <c r="J100" s="3"/>
      <c r="K100" s="12"/>
    </row>
    <row r="101" spans="1:11">
      <c r="A101" s="22"/>
      <c r="B101" s="3" t="s">
        <v>121</v>
      </c>
      <c r="C101" s="3" t="s">
        <v>122</v>
      </c>
      <c r="D101" s="3">
        <v>100</v>
      </c>
      <c r="E101" s="4">
        <v>43909</v>
      </c>
      <c r="F101" s="4">
        <v>43910</v>
      </c>
      <c r="G101" s="5">
        <v>18183.89</v>
      </c>
      <c r="H101" s="5">
        <v>16341</v>
      </c>
      <c r="I101" s="5">
        <v>1842.89</v>
      </c>
      <c r="J101" s="3"/>
      <c r="K101" s="12"/>
    </row>
    <row r="102" spans="1:11">
      <c r="A102" s="22"/>
      <c r="B102" s="3" t="s">
        <v>123</v>
      </c>
      <c r="C102" s="3" t="s">
        <v>124</v>
      </c>
      <c r="D102" s="3">
        <v>1</v>
      </c>
      <c r="E102" s="4">
        <v>43910</v>
      </c>
      <c r="F102" s="4">
        <v>43910</v>
      </c>
      <c r="G102" s="5">
        <v>299.3</v>
      </c>
      <c r="H102" s="5">
        <v>500.69</v>
      </c>
      <c r="I102" s="5">
        <v>-201.39</v>
      </c>
      <c r="J102" s="3"/>
      <c r="K102" s="12"/>
    </row>
    <row r="103" spans="1:11">
      <c r="A103" s="22"/>
      <c r="B103" s="3" t="s">
        <v>125</v>
      </c>
      <c r="C103" s="3" t="s">
        <v>126</v>
      </c>
      <c r="D103" s="3">
        <v>1</v>
      </c>
      <c r="E103" s="4">
        <v>43889</v>
      </c>
      <c r="F103" s="4">
        <v>43910</v>
      </c>
      <c r="G103" s="5">
        <v>0</v>
      </c>
      <c r="H103" s="5">
        <v>1832.69</v>
      </c>
      <c r="I103" s="5">
        <v>-1832.69</v>
      </c>
      <c r="J103" s="3"/>
      <c r="K103" s="12"/>
    </row>
    <row r="104" spans="1:11">
      <c r="A104" s="22"/>
      <c r="B104" s="3" t="s">
        <v>125</v>
      </c>
      <c r="C104" s="3" t="s">
        <v>126</v>
      </c>
      <c r="D104" s="3">
        <v>1</v>
      </c>
      <c r="E104" s="4">
        <v>43889</v>
      </c>
      <c r="F104" s="4">
        <v>43910</v>
      </c>
      <c r="G104" s="5">
        <v>0</v>
      </c>
      <c r="H104" s="5">
        <v>1755.69</v>
      </c>
      <c r="I104" s="5">
        <v>-1755.69</v>
      </c>
      <c r="J104" s="3"/>
      <c r="K104" s="12"/>
    </row>
    <row r="105" spans="1:11">
      <c r="A105" s="22"/>
      <c r="B105" s="3" t="s">
        <v>125</v>
      </c>
      <c r="C105" s="3" t="s">
        <v>126</v>
      </c>
      <c r="D105" s="3">
        <v>2</v>
      </c>
      <c r="E105" s="4">
        <v>43895</v>
      </c>
      <c r="F105" s="4">
        <v>43910</v>
      </c>
      <c r="G105" s="5">
        <v>0</v>
      </c>
      <c r="H105" s="5">
        <v>1861.38</v>
      </c>
      <c r="I105" s="5">
        <v>-1861.38</v>
      </c>
      <c r="J105" s="3"/>
      <c r="K105" s="12"/>
    </row>
    <row r="106" spans="1:11">
      <c r="A106" s="22"/>
      <c r="B106" s="3" t="s">
        <v>125</v>
      </c>
      <c r="C106" s="3" t="s">
        <v>126</v>
      </c>
      <c r="D106" s="3">
        <v>2</v>
      </c>
      <c r="E106" s="4">
        <v>43895</v>
      </c>
      <c r="F106" s="4">
        <v>43910</v>
      </c>
      <c r="G106" s="5">
        <v>0</v>
      </c>
      <c r="H106" s="5">
        <v>1651.38</v>
      </c>
      <c r="I106" s="5">
        <v>-1651.38</v>
      </c>
      <c r="J106" s="3"/>
      <c r="K106" s="12"/>
    </row>
    <row r="107" spans="1:11">
      <c r="A107" s="22"/>
      <c r="B107" s="3" t="s">
        <v>125</v>
      </c>
      <c r="C107" s="3" t="s">
        <v>126</v>
      </c>
      <c r="D107" s="3">
        <v>4</v>
      </c>
      <c r="E107" s="4">
        <v>43900</v>
      </c>
      <c r="F107" s="4">
        <v>43910</v>
      </c>
      <c r="G107" s="5">
        <v>0</v>
      </c>
      <c r="H107" s="5">
        <v>58.76</v>
      </c>
      <c r="I107" s="5">
        <v>-58.76</v>
      </c>
      <c r="J107" s="3"/>
      <c r="K107" s="12"/>
    </row>
    <row r="108" spans="1:11">
      <c r="A108" s="22"/>
      <c r="B108" s="3" t="s">
        <v>127</v>
      </c>
      <c r="C108" s="3" t="s">
        <v>128</v>
      </c>
      <c r="D108" s="3">
        <v>2000</v>
      </c>
      <c r="E108" s="4">
        <v>43910</v>
      </c>
      <c r="F108" s="4">
        <v>43910</v>
      </c>
      <c r="G108" s="5">
        <v>79332.45</v>
      </c>
      <c r="H108" s="5">
        <v>88273.77</v>
      </c>
      <c r="I108" s="5">
        <v>-8941.32</v>
      </c>
      <c r="J108" s="3"/>
      <c r="K108" s="12"/>
    </row>
    <row r="109" spans="1:11">
      <c r="A109" s="23"/>
      <c r="B109" s="14" t="s">
        <v>129</v>
      </c>
      <c r="C109" s="14" t="s">
        <v>130</v>
      </c>
      <c r="D109" s="14">
        <v>5</v>
      </c>
      <c r="E109" s="15">
        <v>43908</v>
      </c>
      <c r="F109" s="15">
        <v>43910</v>
      </c>
      <c r="G109" s="16">
        <v>5121.4399999999996</v>
      </c>
      <c r="H109" s="16">
        <v>2453.44</v>
      </c>
      <c r="I109" s="16">
        <v>2668</v>
      </c>
      <c r="J109" s="14"/>
      <c r="K109" s="17">
        <f>SUM(I96:I109)</f>
        <v>-15838.16</v>
      </c>
    </row>
    <row r="110" spans="1:11">
      <c r="A110" s="21">
        <v>43913</v>
      </c>
      <c r="B110" s="7" t="s">
        <v>131</v>
      </c>
      <c r="C110" s="7" t="s">
        <v>132</v>
      </c>
      <c r="D110" s="7">
        <v>4</v>
      </c>
      <c r="E110" s="8">
        <v>43892</v>
      </c>
      <c r="F110" s="8">
        <v>43913</v>
      </c>
      <c r="G110" s="9">
        <v>737.22</v>
      </c>
      <c r="H110" s="9">
        <v>1442.75</v>
      </c>
      <c r="I110" s="9">
        <v>-705.53</v>
      </c>
      <c r="J110" s="7"/>
      <c r="K110" s="10"/>
    </row>
    <row r="111" spans="1:11">
      <c r="A111" s="22"/>
      <c r="B111" s="3" t="s">
        <v>131</v>
      </c>
      <c r="C111" s="3" t="s">
        <v>132</v>
      </c>
      <c r="D111" s="3">
        <v>1</v>
      </c>
      <c r="E111" s="4">
        <v>43896</v>
      </c>
      <c r="F111" s="4">
        <v>43913</v>
      </c>
      <c r="G111" s="5">
        <v>441.3</v>
      </c>
      <c r="H111" s="5">
        <v>360.69</v>
      </c>
      <c r="I111" s="5">
        <v>80.61</v>
      </c>
      <c r="J111" s="3"/>
      <c r="K111" s="12"/>
    </row>
    <row r="112" spans="1:11">
      <c r="A112" s="22"/>
      <c r="B112" s="3" t="s">
        <v>131</v>
      </c>
      <c r="C112" s="3" t="s">
        <v>132</v>
      </c>
      <c r="D112" s="3">
        <v>4</v>
      </c>
      <c r="E112" s="4">
        <v>43892</v>
      </c>
      <c r="F112" s="4">
        <v>43913</v>
      </c>
      <c r="G112" s="5">
        <v>2965.18</v>
      </c>
      <c r="H112" s="5">
        <v>2148.2800000000002</v>
      </c>
      <c r="I112" s="5">
        <v>816.9</v>
      </c>
      <c r="J112" s="3"/>
      <c r="K112" s="12"/>
    </row>
    <row r="113" spans="1:11">
      <c r="A113" s="22"/>
      <c r="B113" s="3" t="s">
        <v>131</v>
      </c>
      <c r="C113" s="3" t="s">
        <v>132</v>
      </c>
      <c r="D113" s="3">
        <v>1</v>
      </c>
      <c r="E113" s="4">
        <v>43909</v>
      </c>
      <c r="F113" s="4">
        <v>43913</v>
      </c>
      <c r="G113" s="5">
        <v>741.29</v>
      </c>
      <c r="H113" s="5">
        <v>360.69</v>
      </c>
      <c r="I113" s="5">
        <v>380.6</v>
      </c>
      <c r="J113" s="3"/>
      <c r="K113" s="12"/>
    </row>
    <row r="114" spans="1:11">
      <c r="A114" s="22"/>
      <c r="B114" s="3" t="s">
        <v>133</v>
      </c>
      <c r="C114" s="3" t="s">
        <v>134</v>
      </c>
      <c r="D114" s="3">
        <v>470</v>
      </c>
      <c r="E114" s="4">
        <v>43903</v>
      </c>
      <c r="F114" s="4">
        <v>43913</v>
      </c>
      <c r="G114" s="5">
        <v>5014.78</v>
      </c>
      <c r="H114" s="5">
        <v>4783.17</v>
      </c>
      <c r="I114" s="5">
        <v>231.61</v>
      </c>
      <c r="J114" s="3"/>
      <c r="K114" s="12"/>
    </row>
    <row r="115" spans="1:11">
      <c r="A115" s="22"/>
      <c r="B115" s="3" t="s">
        <v>133</v>
      </c>
      <c r="C115" s="3" t="s">
        <v>134</v>
      </c>
      <c r="D115" s="3">
        <v>415</v>
      </c>
      <c r="E115" s="4">
        <v>43903</v>
      </c>
      <c r="F115" s="4">
        <v>43913</v>
      </c>
      <c r="G115" s="5">
        <v>4423.8</v>
      </c>
      <c r="H115" s="5">
        <v>4223.43</v>
      </c>
      <c r="I115" s="5">
        <v>200.37</v>
      </c>
      <c r="J115" s="3"/>
      <c r="K115" s="12"/>
    </row>
    <row r="116" spans="1:11">
      <c r="A116" s="22"/>
      <c r="B116" s="3" t="s">
        <v>133</v>
      </c>
      <c r="C116" s="3" t="s">
        <v>134</v>
      </c>
      <c r="D116" s="3">
        <v>100</v>
      </c>
      <c r="E116" s="4">
        <v>43903</v>
      </c>
      <c r="F116" s="4">
        <v>43913</v>
      </c>
      <c r="G116" s="5">
        <v>1064.97</v>
      </c>
      <c r="H116" s="5">
        <v>1017.7</v>
      </c>
      <c r="I116" s="5">
        <v>47.27</v>
      </c>
      <c r="J116" s="3"/>
      <c r="K116" s="12"/>
    </row>
    <row r="117" spans="1:11">
      <c r="A117" s="22"/>
      <c r="B117" s="3" t="s">
        <v>133</v>
      </c>
      <c r="C117" s="3" t="s">
        <v>134</v>
      </c>
      <c r="D117" s="3">
        <v>15</v>
      </c>
      <c r="E117" s="4">
        <v>43903</v>
      </c>
      <c r="F117" s="4">
        <v>43913</v>
      </c>
      <c r="G117" s="5">
        <v>159.59</v>
      </c>
      <c r="H117" s="5">
        <v>152.65</v>
      </c>
      <c r="I117" s="5">
        <v>6.94</v>
      </c>
      <c r="J117" s="3"/>
      <c r="K117" s="12"/>
    </row>
    <row r="118" spans="1:11">
      <c r="A118" s="22"/>
      <c r="B118" s="3" t="s">
        <v>62</v>
      </c>
      <c r="C118" s="3" t="s">
        <v>63</v>
      </c>
      <c r="D118" s="3">
        <v>100</v>
      </c>
      <c r="E118" s="4">
        <v>43910</v>
      </c>
      <c r="F118" s="4">
        <v>43913</v>
      </c>
      <c r="G118" s="5">
        <v>16199.64</v>
      </c>
      <c r="H118" s="5">
        <v>15505</v>
      </c>
      <c r="I118" s="5">
        <v>694.64</v>
      </c>
      <c r="J118" s="3"/>
      <c r="K118" s="12"/>
    </row>
    <row r="119" spans="1:11">
      <c r="A119" s="22"/>
      <c r="B119" s="3" t="s">
        <v>135</v>
      </c>
      <c r="C119" s="3" t="s">
        <v>136</v>
      </c>
      <c r="D119" s="3">
        <v>5</v>
      </c>
      <c r="E119" s="4">
        <v>43909</v>
      </c>
      <c r="F119" s="4">
        <v>43913</v>
      </c>
      <c r="G119" s="5">
        <v>1821.51</v>
      </c>
      <c r="H119" s="5">
        <v>1103.44</v>
      </c>
      <c r="I119" s="5">
        <v>718.07</v>
      </c>
      <c r="J119" s="3"/>
      <c r="K119" s="18">
        <f>SUM(I110:I119)</f>
        <v>2471.4800000000005</v>
      </c>
    </row>
    <row r="120" spans="1:11" ht="15" customHeight="1">
      <c r="A120" s="30">
        <v>43914</v>
      </c>
      <c r="B120" s="31" t="s">
        <v>137</v>
      </c>
      <c r="C120" s="31" t="s">
        <v>138</v>
      </c>
      <c r="D120" s="31">
        <v>1</v>
      </c>
      <c r="E120" s="32">
        <v>43909</v>
      </c>
      <c r="F120" s="32">
        <v>43914</v>
      </c>
      <c r="G120" s="33">
        <v>143.58000000000001</v>
      </c>
      <c r="H120" s="33">
        <v>137.79</v>
      </c>
      <c r="I120" s="33">
        <v>5.79</v>
      </c>
      <c r="J120" s="31"/>
      <c r="K120" s="34"/>
    </row>
    <row r="121" spans="1:11">
      <c r="A121" s="35"/>
      <c r="B121" s="3" t="s">
        <v>139</v>
      </c>
      <c r="C121" s="3" t="s">
        <v>140</v>
      </c>
      <c r="D121" s="3">
        <v>1</v>
      </c>
      <c r="E121" s="4">
        <v>43910</v>
      </c>
      <c r="F121" s="4">
        <v>43914</v>
      </c>
      <c r="G121" s="5">
        <v>39.89</v>
      </c>
      <c r="H121" s="5">
        <v>39.479999999999997</v>
      </c>
      <c r="I121" s="5">
        <v>0.41</v>
      </c>
      <c r="J121" s="3"/>
      <c r="K121" s="36"/>
    </row>
    <row r="122" spans="1:11">
      <c r="A122" s="35"/>
      <c r="B122" s="3" t="s">
        <v>62</v>
      </c>
      <c r="C122" s="3" t="s">
        <v>63</v>
      </c>
      <c r="D122" s="3">
        <v>1</v>
      </c>
      <c r="E122" s="4">
        <v>43910</v>
      </c>
      <c r="F122" s="4">
        <v>43914</v>
      </c>
      <c r="G122" s="5">
        <v>154.19</v>
      </c>
      <c r="H122" s="5">
        <v>147.51</v>
      </c>
      <c r="I122" s="5">
        <v>6.68</v>
      </c>
      <c r="J122" s="3"/>
      <c r="K122" s="36"/>
    </row>
    <row r="123" spans="1:11">
      <c r="A123" s="35"/>
      <c r="B123" s="3" t="s">
        <v>62</v>
      </c>
      <c r="C123" s="3" t="s">
        <v>63</v>
      </c>
      <c r="D123" s="3">
        <v>1</v>
      </c>
      <c r="E123" s="4">
        <v>43910</v>
      </c>
      <c r="F123" s="4">
        <v>43914</v>
      </c>
      <c r="G123" s="5">
        <v>154.19</v>
      </c>
      <c r="H123" s="5">
        <v>144.85</v>
      </c>
      <c r="I123" s="5">
        <v>9.34</v>
      </c>
      <c r="J123" s="3"/>
      <c r="K123" s="36"/>
    </row>
    <row r="124" spans="1:11">
      <c r="A124" s="35"/>
      <c r="B124" s="3" t="s">
        <v>62</v>
      </c>
      <c r="C124" s="3" t="s">
        <v>63</v>
      </c>
      <c r="D124" s="3">
        <v>2</v>
      </c>
      <c r="E124" s="4">
        <v>43910</v>
      </c>
      <c r="F124" s="4">
        <v>43914</v>
      </c>
      <c r="G124" s="5">
        <v>308.37</v>
      </c>
      <c r="H124" s="5">
        <v>289.47000000000003</v>
      </c>
      <c r="I124" s="5">
        <v>18.899999999999999</v>
      </c>
      <c r="J124" s="3"/>
      <c r="K124" s="36"/>
    </row>
    <row r="125" spans="1:11">
      <c r="A125" s="35"/>
      <c r="B125" s="3" t="s">
        <v>62</v>
      </c>
      <c r="C125" s="3" t="s">
        <v>63</v>
      </c>
      <c r="D125" s="3">
        <v>1</v>
      </c>
      <c r="E125" s="4">
        <v>43910</v>
      </c>
      <c r="F125" s="4">
        <v>43914</v>
      </c>
      <c r="G125" s="5">
        <v>154.18</v>
      </c>
      <c r="H125" s="5">
        <v>144.69999999999999</v>
      </c>
      <c r="I125" s="5">
        <v>9.48</v>
      </c>
      <c r="J125" s="3"/>
      <c r="K125" s="36"/>
    </row>
    <row r="126" spans="1:11">
      <c r="A126" s="35"/>
      <c r="B126" s="3" t="s">
        <v>141</v>
      </c>
      <c r="C126" s="3" t="s">
        <v>142</v>
      </c>
      <c r="D126" s="3">
        <v>1</v>
      </c>
      <c r="E126" s="4">
        <v>43910</v>
      </c>
      <c r="F126" s="4">
        <v>43914</v>
      </c>
      <c r="G126" s="5">
        <v>18.940000000000001</v>
      </c>
      <c r="H126" s="5">
        <v>19.28</v>
      </c>
      <c r="I126" s="5">
        <v>-0.34</v>
      </c>
      <c r="J126" s="3" t="s">
        <v>13</v>
      </c>
      <c r="K126" s="42">
        <f>SUM(I120:I126)</f>
        <v>50.259999999999991</v>
      </c>
    </row>
    <row r="127" spans="1:11">
      <c r="A127" s="30">
        <v>43915</v>
      </c>
      <c r="B127" s="31" t="s">
        <v>143</v>
      </c>
      <c r="C127" s="31" t="s">
        <v>144</v>
      </c>
      <c r="D127" s="31">
        <v>1</v>
      </c>
      <c r="E127" s="32">
        <v>43910</v>
      </c>
      <c r="F127" s="32">
        <v>43915</v>
      </c>
      <c r="G127" s="33">
        <v>208.97</v>
      </c>
      <c r="H127" s="33">
        <v>202.27</v>
      </c>
      <c r="I127" s="33">
        <v>6.7</v>
      </c>
      <c r="J127" s="31" t="s">
        <v>13</v>
      </c>
      <c r="K127" s="34"/>
    </row>
    <row r="128" spans="1:11">
      <c r="A128" s="35"/>
      <c r="B128" s="3" t="s">
        <v>145</v>
      </c>
      <c r="C128" s="3" t="s">
        <v>146</v>
      </c>
      <c r="D128" s="3">
        <v>1</v>
      </c>
      <c r="E128" s="4">
        <v>43886</v>
      </c>
      <c r="F128" s="4">
        <v>43915</v>
      </c>
      <c r="G128" s="5">
        <v>899.29</v>
      </c>
      <c r="H128" s="5">
        <v>1981.69</v>
      </c>
      <c r="I128" s="5">
        <v>-1082.4000000000001</v>
      </c>
      <c r="J128" s="3" t="s">
        <v>13</v>
      </c>
      <c r="K128" s="36"/>
    </row>
    <row r="129" spans="1:11">
      <c r="A129" s="35"/>
      <c r="B129" s="3" t="s">
        <v>145</v>
      </c>
      <c r="C129" s="3" t="s">
        <v>146</v>
      </c>
      <c r="D129" s="3">
        <v>1</v>
      </c>
      <c r="E129" s="4">
        <v>43907</v>
      </c>
      <c r="F129" s="4">
        <v>43915</v>
      </c>
      <c r="G129" s="5">
        <v>899.29</v>
      </c>
      <c r="H129" s="5">
        <v>400.69</v>
      </c>
      <c r="I129" s="5">
        <v>498.6</v>
      </c>
      <c r="J129" s="3" t="s">
        <v>13</v>
      </c>
      <c r="K129" s="36"/>
    </row>
    <row r="130" spans="1:11">
      <c r="A130" s="35"/>
      <c r="B130" s="3" t="s">
        <v>145</v>
      </c>
      <c r="C130" s="3" t="s">
        <v>146</v>
      </c>
      <c r="D130" s="3">
        <v>1</v>
      </c>
      <c r="E130" s="4">
        <v>43910</v>
      </c>
      <c r="F130" s="4">
        <v>43915</v>
      </c>
      <c r="G130" s="5">
        <v>899.29</v>
      </c>
      <c r="H130" s="5">
        <v>100.69</v>
      </c>
      <c r="I130" s="5">
        <v>798.6</v>
      </c>
      <c r="J130" s="3" t="s">
        <v>13</v>
      </c>
      <c r="K130" s="36"/>
    </row>
    <row r="131" spans="1:11">
      <c r="A131" s="35"/>
      <c r="B131" s="3" t="s">
        <v>147</v>
      </c>
      <c r="C131" s="3" t="s">
        <v>148</v>
      </c>
      <c r="D131" s="3">
        <v>3</v>
      </c>
      <c r="E131" s="4">
        <v>43909</v>
      </c>
      <c r="F131" s="4">
        <v>43915</v>
      </c>
      <c r="G131" s="5">
        <v>477.91</v>
      </c>
      <c r="H131" s="5">
        <v>105.12</v>
      </c>
      <c r="I131" s="5">
        <v>372.79</v>
      </c>
      <c r="J131" s="3" t="s">
        <v>13</v>
      </c>
      <c r="K131" s="36"/>
    </row>
    <row r="132" spans="1:11">
      <c r="A132" s="35"/>
      <c r="B132" s="3" t="s">
        <v>149</v>
      </c>
      <c r="C132" s="3" t="s">
        <v>150</v>
      </c>
      <c r="D132" s="3">
        <v>5</v>
      </c>
      <c r="E132" s="4">
        <v>43909</v>
      </c>
      <c r="F132" s="4">
        <v>43915</v>
      </c>
      <c r="G132" s="5">
        <v>1146.53</v>
      </c>
      <c r="H132" s="5">
        <v>1353.44</v>
      </c>
      <c r="I132" s="5">
        <v>-206.91</v>
      </c>
      <c r="J132" s="3" t="s">
        <v>13</v>
      </c>
      <c r="K132" s="36"/>
    </row>
    <row r="133" spans="1:11">
      <c r="A133" s="35"/>
      <c r="B133" s="3" t="s">
        <v>149</v>
      </c>
      <c r="C133" s="3" t="s">
        <v>150</v>
      </c>
      <c r="D133" s="3">
        <v>5</v>
      </c>
      <c r="E133" s="4">
        <v>43913</v>
      </c>
      <c r="F133" s="4">
        <v>43915</v>
      </c>
      <c r="G133" s="5">
        <v>1146.52</v>
      </c>
      <c r="H133" s="5">
        <v>428.44</v>
      </c>
      <c r="I133" s="5">
        <v>718.08</v>
      </c>
      <c r="J133" s="3" t="s">
        <v>13</v>
      </c>
      <c r="K133" s="42">
        <f>SUM(I127:I133)</f>
        <v>1105.46</v>
      </c>
    </row>
    <row r="134" spans="1:11" ht="15" customHeight="1">
      <c r="A134" s="30">
        <v>43916</v>
      </c>
      <c r="B134" s="31" t="s">
        <v>151</v>
      </c>
      <c r="C134" s="31" t="s">
        <v>152</v>
      </c>
      <c r="D134" s="31">
        <v>1000</v>
      </c>
      <c r="E134" s="32">
        <v>43915</v>
      </c>
      <c r="F134" s="32">
        <v>43916</v>
      </c>
      <c r="G134" s="33">
        <v>7389.84</v>
      </c>
      <c r="H134" s="33">
        <v>5495.3</v>
      </c>
      <c r="I134" s="33">
        <v>1894.54</v>
      </c>
      <c r="J134" s="31" t="s">
        <v>13</v>
      </c>
      <c r="K134" s="34"/>
    </row>
    <row r="135" spans="1:11">
      <c r="A135" s="35"/>
      <c r="B135" s="3" t="s">
        <v>151</v>
      </c>
      <c r="C135" s="3" t="s">
        <v>152</v>
      </c>
      <c r="D135" s="3">
        <v>1000</v>
      </c>
      <c r="E135" s="4">
        <v>43915</v>
      </c>
      <c r="F135" s="4">
        <v>43916</v>
      </c>
      <c r="G135" s="5">
        <v>7389.83</v>
      </c>
      <c r="H135" s="5">
        <v>5480</v>
      </c>
      <c r="I135" s="5">
        <v>1909.83</v>
      </c>
      <c r="J135" s="3" t="s">
        <v>13</v>
      </c>
      <c r="K135" s="36"/>
    </row>
    <row r="136" spans="1:11">
      <c r="A136" s="35"/>
      <c r="B136" s="3" t="s">
        <v>153</v>
      </c>
      <c r="C136" s="3" t="s">
        <v>154</v>
      </c>
      <c r="D136" s="3">
        <v>2</v>
      </c>
      <c r="E136" s="4">
        <v>43916</v>
      </c>
      <c r="F136" s="4">
        <v>43916</v>
      </c>
      <c r="G136" s="5">
        <v>88.62</v>
      </c>
      <c r="H136" s="5">
        <v>191.38</v>
      </c>
      <c r="I136" s="5">
        <v>-102.76</v>
      </c>
      <c r="J136" s="3" t="s">
        <v>13</v>
      </c>
      <c r="K136" s="36"/>
    </row>
    <row r="137" spans="1:11">
      <c r="A137" s="35"/>
      <c r="B137" s="3" t="s">
        <v>153</v>
      </c>
      <c r="C137" s="3" t="s">
        <v>154</v>
      </c>
      <c r="D137" s="3">
        <v>1</v>
      </c>
      <c r="E137" s="4">
        <v>43916</v>
      </c>
      <c r="F137" s="4">
        <v>43916</v>
      </c>
      <c r="G137" s="5">
        <v>44.31</v>
      </c>
      <c r="H137" s="5">
        <v>94.69</v>
      </c>
      <c r="I137" s="5">
        <v>-50.38</v>
      </c>
      <c r="J137" s="3" t="s">
        <v>13</v>
      </c>
      <c r="K137" s="36"/>
    </row>
    <row r="138" spans="1:11">
      <c r="A138" s="35"/>
      <c r="B138" s="3" t="s">
        <v>153</v>
      </c>
      <c r="C138" s="3" t="s">
        <v>154</v>
      </c>
      <c r="D138" s="3">
        <v>3</v>
      </c>
      <c r="E138" s="4">
        <v>43916</v>
      </c>
      <c r="F138" s="4">
        <v>43916</v>
      </c>
      <c r="G138" s="5">
        <v>132.93</v>
      </c>
      <c r="H138" s="5">
        <v>269.07</v>
      </c>
      <c r="I138" s="5">
        <v>-136.13999999999999</v>
      </c>
      <c r="J138" s="3" t="s">
        <v>13</v>
      </c>
      <c r="K138" s="36"/>
    </row>
    <row r="139" spans="1:11">
      <c r="A139" s="35"/>
      <c r="B139" s="3" t="s">
        <v>153</v>
      </c>
      <c r="C139" s="3" t="s">
        <v>154</v>
      </c>
      <c r="D139" s="3">
        <v>1</v>
      </c>
      <c r="E139" s="4">
        <v>43916</v>
      </c>
      <c r="F139" s="4">
        <v>43916</v>
      </c>
      <c r="G139" s="5">
        <v>44.31</v>
      </c>
      <c r="H139" s="5">
        <v>95.69</v>
      </c>
      <c r="I139" s="5">
        <v>-51.38</v>
      </c>
      <c r="J139" s="3" t="s">
        <v>13</v>
      </c>
      <c r="K139" s="36"/>
    </row>
    <row r="140" spans="1:11">
      <c r="A140" s="35"/>
      <c r="B140" s="3" t="s">
        <v>153</v>
      </c>
      <c r="C140" s="3" t="s">
        <v>154</v>
      </c>
      <c r="D140" s="3">
        <v>1</v>
      </c>
      <c r="E140" s="4">
        <v>43916</v>
      </c>
      <c r="F140" s="4">
        <v>43916</v>
      </c>
      <c r="G140" s="5">
        <v>44.31</v>
      </c>
      <c r="H140" s="5">
        <v>95.69</v>
      </c>
      <c r="I140" s="5">
        <v>-51.38</v>
      </c>
      <c r="J140" s="3" t="s">
        <v>13</v>
      </c>
      <c r="K140" s="36"/>
    </row>
    <row r="141" spans="1:11" ht="15" customHeight="1">
      <c r="A141" s="35"/>
      <c r="B141" s="3" t="s">
        <v>153</v>
      </c>
      <c r="C141" s="3" t="s">
        <v>154</v>
      </c>
      <c r="D141" s="3">
        <v>2</v>
      </c>
      <c r="E141" s="4">
        <v>43916</v>
      </c>
      <c r="F141" s="4">
        <v>43916</v>
      </c>
      <c r="G141" s="5">
        <v>88.62</v>
      </c>
      <c r="H141" s="5">
        <v>191.38</v>
      </c>
      <c r="I141" s="5">
        <v>-102.76</v>
      </c>
      <c r="J141" s="3" t="s">
        <v>13</v>
      </c>
      <c r="K141" s="36"/>
    </row>
    <row r="142" spans="1:11">
      <c r="A142" s="35"/>
      <c r="B142" s="3" t="s">
        <v>153</v>
      </c>
      <c r="C142" s="3" t="s">
        <v>154</v>
      </c>
      <c r="D142" s="3">
        <v>1</v>
      </c>
      <c r="E142" s="4">
        <v>43916</v>
      </c>
      <c r="F142" s="4">
        <v>43916</v>
      </c>
      <c r="G142" s="5">
        <v>44.31</v>
      </c>
      <c r="H142" s="5">
        <v>150.69</v>
      </c>
      <c r="I142" s="5">
        <v>-106.38</v>
      </c>
      <c r="J142" s="3" t="s">
        <v>13</v>
      </c>
      <c r="K142" s="36"/>
    </row>
    <row r="143" spans="1:11">
      <c r="A143" s="35"/>
      <c r="B143" s="3" t="s">
        <v>153</v>
      </c>
      <c r="C143" s="3" t="s">
        <v>154</v>
      </c>
      <c r="D143" s="3">
        <v>9</v>
      </c>
      <c r="E143" s="4">
        <v>43916</v>
      </c>
      <c r="F143" s="4">
        <v>43916</v>
      </c>
      <c r="G143" s="5">
        <v>398.79</v>
      </c>
      <c r="H143" s="5">
        <v>1374.2</v>
      </c>
      <c r="I143" s="5">
        <v>-975.41</v>
      </c>
      <c r="J143" s="3" t="s">
        <v>13</v>
      </c>
      <c r="K143" s="36"/>
    </row>
    <row r="144" spans="1:11">
      <c r="A144" s="35"/>
      <c r="B144" s="3" t="s">
        <v>155</v>
      </c>
      <c r="C144" s="3" t="s">
        <v>156</v>
      </c>
      <c r="D144" s="3">
        <v>1</v>
      </c>
      <c r="E144" s="4">
        <v>43916</v>
      </c>
      <c r="F144" s="4">
        <v>43916</v>
      </c>
      <c r="G144" s="5">
        <v>39.31</v>
      </c>
      <c r="H144" s="5">
        <v>125.69</v>
      </c>
      <c r="I144" s="5">
        <v>-86.38</v>
      </c>
      <c r="J144" s="3" t="s">
        <v>13</v>
      </c>
      <c r="K144" s="36"/>
    </row>
    <row r="145" spans="1:11">
      <c r="A145" s="35"/>
      <c r="B145" s="3" t="s">
        <v>155</v>
      </c>
      <c r="C145" s="3" t="s">
        <v>156</v>
      </c>
      <c r="D145" s="3">
        <v>9</v>
      </c>
      <c r="E145" s="4">
        <v>43916</v>
      </c>
      <c r="F145" s="4">
        <v>43916</v>
      </c>
      <c r="G145" s="5">
        <v>353.79</v>
      </c>
      <c r="H145" s="5">
        <v>1176.2</v>
      </c>
      <c r="I145" s="5">
        <v>-822.41</v>
      </c>
      <c r="J145" s="3" t="s">
        <v>13</v>
      </c>
      <c r="K145" s="36"/>
    </row>
    <row r="146" spans="1:11">
      <c r="A146" s="35"/>
      <c r="B146" s="3" t="s">
        <v>157</v>
      </c>
      <c r="C146" s="3" t="s">
        <v>158</v>
      </c>
      <c r="D146" s="3">
        <v>20</v>
      </c>
      <c r="E146" s="4">
        <v>43915</v>
      </c>
      <c r="F146" s="4">
        <v>43916</v>
      </c>
      <c r="G146" s="5">
        <v>3986.13</v>
      </c>
      <c r="H146" s="5">
        <v>2013.78</v>
      </c>
      <c r="I146" s="5">
        <v>1972.35</v>
      </c>
      <c r="J146" s="3" t="s">
        <v>13</v>
      </c>
      <c r="K146" s="36"/>
    </row>
    <row r="147" spans="1:11">
      <c r="A147" s="35"/>
      <c r="B147" s="3" t="s">
        <v>159</v>
      </c>
      <c r="C147" s="3" t="s">
        <v>160</v>
      </c>
      <c r="D147" s="3">
        <v>1</v>
      </c>
      <c r="E147" s="4">
        <v>43874</v>
      </c>
      <c r="F147" s="4">
        <v>43916</v>
      </c>
      <c r="G147" s="5">
        <v>47.14</v>
      </c>
      <c r="H147" s="5">
        <v>114.97</v>
      </c>
      <c r="I147" s="5">
        <v>-67.83</v>
      </c>
      <c r="J147" s="3" t="s">
        <v>13</v>
      </c>
      <c r="K147" s="36"/>
    </row>
    <row r="148" spans="1:11" ht="15" customHeight="1">
      <c r="A148" s="35"/>
      <c r="B148" s="3" t="s">
        <v>159</v>
      </c>
      <c r="C148" s="3" t="s">
        <v>160</v>
      </c>
      <c r="D148" s="3">
        <v>4</v>
      </c>
      <c r="E148" s="4">
        <v>43902</v>
      </c>
      <c r="F148" s="4">
        <v>43916</v>
      </c>
      <c r="G148" s="5">
        <v>188.58</v>
      </c>
      <c r="H148" s="5">
        <v>184.02</v>
      </c>
      <c r="I148" s="5">
        <v>4.5599999999999996</v>
      </c>
      <c r="J148" s="3" t="s">
        <v>13</v>
      </c>
      <c r="K148" s="36"/>
    </row>
    <row r="149" spans="1:11">
      <c r="A149" s="35"/>
      <c r="B149" s="3" t="s">
        <v>159</v>
      </c>
      <c r="C149" s="3" t="s">
        <v>160</v>
      </c>
      <c r="D149" s="3">
        <v>5</v>
      </c>
      <c r="E149" s="4">
        <v>43908</v>
      </c>
      <c r="F149" s="4">
        <v>43916</v>
      </c>
      <c r="G149" s="5">
        <v>235.72</v>
      </c>
      <c r="H149" s="5">
        <v>179.15</v>
      </c>
      <c r="I149" s="5">
        <v>56.57</v>
      </c>
      <c r="J149" s="3" t="s">
        <v>13</v>
      </c>
      <c r="K149" s="36"/>
    </row>
    <row r="150" spans="1:11">
      <c r="A150" s="37"/>
      <c r="B150" s="38" t="s">
        <v>159</v>
      </c>
      <c r="C150" s="38" t="s">
        <v>160</v>
      </c>
      <c r="D150" s="38">
        <v>1</v>
      </c>
      <c r="E150" s="39">
        <v>43910</v>
      </c>
      <c r="F150" s="39">
        <v>43916</v>
      </c>
      <c r="G150" s="40">
        <v>47.15</v>
      </c>
      <c r="H150" s="40">
        <v>38.6</v>
      </c>
      <c r="I150" s="40">
        <v>8.5500000000000007</v>
      </c>
      <c r="J150" s="38" t="s">
        <v>13</v>
      </c>
      <c r="K150" s="41">
        <f>SUM(I134:I150)</f>
        <v>3293.1899999999996</v>
      </c>
    </row>
    <row r="151" spans="1:11">
      <c r="A151" s="43"/>
    </row>
    <row r="152" spans="1:11">
      <c r="A152" s="43"/>
    </row>
    <row r="153" spans="1:11">
      <c r="A153" s="43"/>
    </row>
    <row r="154" spans="1:11">
      <c r="A154" s="43"/>
    </row>
  </sheetData>
  <mergeCells count="22">
    <mergeCell ref="A134:A150"/>
    <mergeCell ref="L3:L31"/>
    <mergeCell ref="A6:A12"/>
    <mergeCell ref="A13:A18"/>
    <mergeCell ref="A19:A21"/>
    <mergeCell ref="A120:A126"/>
    <mergeCell ref="A127:A133"/>
    <mergeCell ref="A89:A95"/>
    <mergeCell ref="A96:A109"/>
    <mergeCell ref="A110:A119"/>
    <mergeCell ref="A4:A5"/>
    <mergeCell ref="A33:A34"/>
    <mergeCell ref="A35:A40"/>
    <mergeCell ref="A41:A42"/>
    <mergeCell ref="A70:A85"/>
    <mergeCell ref="A68:A69"/>
    <mergeCell ref="A64:A67"/>
    <mergeCell ref="A61:A63"/>
    <mergeCell ref="A58:A59"/>
    <mergeCell ref="A51:A57"/>
    <mergeCell ref="A43:A50"/>
    <mergeCell ref="A22:A3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6YDMQ6CUTPJ4-1427209179-550</_dlc_DocId>
    <_dlc_DocIdUrl xmlns="7dc771f6-da2e-4bd1-a70e-d17768d8552b">
      <Url>https://cloudbaud.sharepoint.com/sites/Accounting/Taxes/_layouts/15/DocIdRedir.aspx?ID=6YDMQ6CUTPJ4-1427209179-550</Url>
      <Description>6YDMQ6CUTPJ4-1427209179-550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E28FCA1-D41D-4CD9-AD88-E981A004F6F1}"/>
</file>

<file path=customXml/itemProps2.xml><?xml version="1.0" encoding="utf-8"?>
<ds:datastoreItem xmlns:ds="http://schemas.openxmlformats.org/officeDocument/2006/customXml" ds:itemID="{0B287C7A-141B-4917-AA6C-7487F4E900A3}"/>
</file>

<file path=customXml/itemProps3.xml><?xml version="1.0" encoding="utf-8"?>
<ds:datastoreItem xmlns:ds="http://schemas.openxmlformats.org/officeDocument/2006/customXml" ds:itemID="{3046B855-63C3-4F3D-8599-72C88026E23F}"/>
</file>

<file path=customXml/itemProps4.xml><?xml version="1.0" encoding="utf-8"?>
<ds:datastoreItem xmlns:ds="http://schemas.openxmlformats.org/officeDocument/2006/customXml" ds:itemID="{CC9B290B-D157-483D-BAB9-7671556D7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Jishnu Nath</cp:lastModifiedBy>
  <cp:revision/>
  <dcterms:created xsi:type="dcterms:W3CDTF">2020-03-22T19:51:48Z</dcterms:created>
  <dcterms:modified xsi:type="dcterms:W3CDTF">2020-03-27T03:21:23Z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_dlc_DocIdItemGuid">
    <vt:lpwstr>799c0a56-ea13-49f0-b356-92b6a52cbb39</vt:lpwstr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