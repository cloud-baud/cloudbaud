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loudBaud\CloudBaud, LLC\Corporate Filings - Federal Taxes Biz Personal - Federal Taxes Biz Personal\2017\"/>
    </mc:Choice>
  </mc:AlternateContent>
  <xr:revisionPtr revIDLastSave="130" documentId="13_ncr:1_{2B242F31-5647-4F10-9216-9F292F38F2DB}" xr6:coauthVersionLast="47" xr6:coauthVersionMax="47" xr10:uidLastSave="{12354E26-4EFA-446D-9378-E3C44AD2FD66}"/>
  <bookViews>
    <workbookView xWindow="-120" yWindow="330" windowWidth="38640" windowHeight="15990" xr2:uid="{D85E9EBB-AA3D-4A30-B8A9-56299E804068}"/>
  </bookViews>
  <sheets>
    <sheet name="Summary" sheetId="8" r:id="rId1"/>
    <sheet name="Jan" sheetId="9" r:id="rId2"/>
    <sheet name="Feb" sheetId="10" r:id="rId3"/>
    <sheet name="Mar" sheetId="11" r:id="rId4"/>
    <sheet name="April" sheetId="12" r:id="rId5"/>
    <sheet name="May" sheetId="13" r:id="rId6"/>
    <sheet name="June" sheetId="1" r:id="rId7"/>
    <sheet name="July" sheetId="2" r:id="rId8"/>
    <sheet name="Aug" sheetId="3" r:id="rId9"/>
    <sheet name="Sep" sheetId="4" r:id="rId10"/>
    <sheet name="Oct" sheetId="5" r:id="rId11"/>
    <sheet name="Nov" sheetId="6" r:id="rId12"/>
    <sheet name="Dec" sheetId="7" r:id="rId13"/>
    <sheet name="Categories" sheetId="15" r:id="rId1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7" i="8" l="1"/>
  <c r="D39" i="8"/>
  <c r="E20" i="8"/>
  <c r="E21" i="8"/>
  <c r="E30" i="8"/>
  <c r="F29" i="8"/>
  <c r="F30" i="8"/>
  <c r="G30" i="8"/>
  <c r="H30" i="8"/>
  <c r="I30" i="8"/>
  <c r="J30" i="8"/>
  <c r="K30" i="8"/>
  <c r="K29" i="8"/>
  <c r="L30" i="8"/>
  <c r="D29" i="8"/>
  <c r="P30" i="8"/>
  <c r="M30" i="8"/>
  <c r="D30" i="8"/>
  <c r="D8" i="8"/>
  <c r="D17" i="8"/>
  <c r="M24" i="8"/>
  <c r="G28" i="8"/>
  <c r="F28" i="8"/>
  <c r="D12" i="8"/>
  <c r="D13" i="8"/>
  <c r="D14" i="8"/>
  <c r="D15" i="8"/>
  <c r="D16" i="8"/>
  <c r="D18" i="8"/>
  <c r="D19" i="8"/>
  <c r="D20" i="8"/>
  <c r="D21" i="8"/>
  <c r="D22" i="8"/>
  <c r="D23" i="8"/>
  <c r="D28" i="8"/>
  <c r="D33" i="8"/>
  <c r="D34" i="8"/>
  <c r="D35" i="8"/>
  <c r="D40" i="8"/>
  <c r="D41" i="8"/>
  <c r="D11" i="8"/>
  <c r="D9" i="8" s="1"/>
  <c r="K44" i="7"/>
  <c r="L44" i="7"/>
  <c r="M44" i="7"/>
  <c r="N44" i="7"/>
  <c r="O44" i="7"/>
  <c r="P44" i="7"/>
  <c r="Q44" i="7"/>
  <c r="R44" i="7"/>
  <c r="S44" i="7"/>
  <c r="T44" i="7"/>
  <c r="J44" i="7"/>
  <c r="K50" i="6"/>
  <c r="L50" i="6"/>
  <c r="M50" i="6"/>
  <c r="N50" i="6"/>
  <c r="O50" i="6"/>
  <c r="P50" i="6"/>
  <c r="Q50" i="6"/>
  <c r="R50" i="6"/>
  <c r="S50" i="6"/>
  <c r="T50" i="6"/>
  <c r="U50" i="6"/>
  <c r="J50" i="6"/>
  <c r="S48" i="6"/>
  <c r="K53" i="5"/>
  <c r="L53" i="5"/>
  <c r="M53" i="5"/>
  <c r="N53" i="5"/>
  <c r="O53" i="5"/>
  <c r="P53" i="5"/>
  <c r="Q53" i="5"/>
  <c r="R53" i="5"/>
  <c r="S53" i="5"/>
  <c r="T53" i="5"/>
  <c r="U53" i="5"/>
  <c r="V53" i="5"/>
  <c r="J53" i="5"/>
  <c r="L49" i="4"/>
  <c r="M49" i="4"/>
  <c r="N49" i="4"/>
  <c r="O49" i="4"/>
  <c r="P49" i="4"/>
  <c r="Q49" i="4"/>
  <c r="R49" i="4"/>
  <c r="S49" i="4"/>
  <c r="T49" i="4"/>
  <c r="U49" i="4"/>
  <c r="V49" i="4"/>
  <c r="J49" i="4"/>
  <c r="J62" i="3"/>
  <c r="K62" i="3"/>
  <c r="L62" i="3"/>
  <c r="M62" i="3"/>
  <c r="N62" i="3"/>
  <c r="O62" i="3"/>
  <c r="P62" i="3"/>
  <c r="Q62" i="3"/>
  <c r="R62" i="3"/>
  <c r="S62" i="3"/>
  <c r="I62" i="3"/>
  <c r="R39" i="7"/>
  <c r="Q40" i="7"/>
  <c r="Q35" i="7"/>
  <c r="R34" i="7"/>
  <c r="R35" i="6"/>
  <c r="J34" i="6"/>
  <c r="S34" i="6" s="1"/>
  <c r="S32" i="5"/>
  <c r="T31" i="5"/>
  <c r="S28" i="5"/>
  <c r="T27" i="5"/>
  <c r="U44" i="4"/>
  <c r="U47" i="4"/>
  <c r="S45" i="4"/>
  <c r="R46" i="4"/>
  <c r="J43" i="4"/>
  <c r="R43" i="4" s="1"/>
  <c r="J42" i="4"/>
  <c r="S42" i="4" s="1"/>
  <c r="P59" i="3"/>
  <c r="R43" i="2"/>
  <c r="P47" i="6" l="1"/>
  <c r="P46" i="6"/>
  <c r="N45" i="6"/>
  <c r="P44" i="6"/>
  <c r="O43" i="6"/>
  <c r="S42" i="7"/>
  <c r="S41" i="7"/>
  <c r="N38" i="7"/>
  <c r="S36" i="7"/>
  <c r="J33" i="7"/>
  <c r="S33" i="7" s="1"/>
  <c r="N32" i="7"/>
  <c r="P42" i="6"/>
  <c r="P41" i="6"/>
  <c r="T40" i="6"/>
  <c r="U37" i="6"/>
  <c r="T36" i="6"/>
  <c r="O33" i="6"/>
  <c r="O51" i="5"/>
  <c r="O50" i="5"/>
  <c r="U49" i="5"/>
  <c r="O48" i="5"/>
  <c r="N47" i="5"/>
  <c r="N46" i="5"/>
  <c r="O45" i="5"/>
  <c r="O44" i="5"/>
  <c r="N43" i="5"/>
  <c r="O42" i="5"/>
  <c r="J42" i="5"/>
  <c r="O40" i="5"/>
  <c r="Q39" i="5"/>
  <c r="O38" i="5"/>
  <c r="U33" i="5"/>
  <c r="N30" i="5"/>
  <c r="U29" i="5"/>
  <c r="M57" i="3"/>
  <c r="P56" i="3"/>
  <c r="M55" i="3"/>
  <c r="M54" i="3"/>
  <c r="L53" i="3"/>
  <c r="M52" i="3"/>
  <c r="O51" i="3"/>
  <c r="M50" i="3"/>
  <c r="M49" i="3"/>
  <c r="E9" i="8"/>
  <c r="F9" i="8"/>
  <c r="G9" i="8"/>
  <c r="H9" i="8"/>
  <c r="I9" i="8"/>
  <c r="J9" i="8"/>
  <c r="K9" i="8"/>
  <c r="L9" i="8"/>
  <c r="O9" i="8"/>
  <c r="P9" i="8"/>
  <c r="N9" i="8"/>
  <c r="R26" i="7" l="1"/>
  <c r="O25" i="7"/>
  <c r="S31" i="6"/>
  <c r="P30" i="6"/>
  <c r="S29" i="6"/>
  <c r="S28" i="6"/>
  <c r="P27" i="6"/>
  <c r="S26" i="6"/>
  <c r="P25" i="6"/>
  <c r="P24" i="6"/>
  <c r="O24" i="5"/>
  <c r="L23" i="5"/>
  <c r="S36" i="4"/>
  <c r="O35" i="4"/>
  <c r="M34" i="4"/>
  <c r="O23" i="5"/>
  <c r="S33" i="4"/>
  <c r="L32" i="4"/>
  <c r="O31" i="4"/>
  <c r="M9" i="8" l="1"/>
  <c r="P41" i="3"/>
  <c r="K7" i="8"/>
  <c r="K5" i="8"/>
  <c r="K3" i="8"/>
  <c r="J5" i="8"/>
  <c r="J3" i="8"/>
  <c r="J7" i="8" s="1"/>
  <c r="J7" i="1"/>
  <c r="L5" i="1"/>
  <c r="L33" i="1"/>
  <c r="J4" i="1"/>
  <c r="J7" i="2"/>
  <c r="J4" i="2"/>
  <c r="L5" i="2"/>
  <c r="L39" i="2"/>
  <c r="S41" i="2"/>
  <c r="L18" i="2"/>
  <c r="L32" i="2"/>
  <c r="J21" i="2"/>
  <c r="M38" i="1"/>
  <c r="M37" i="1"/>
  <c r="J26" i="1"/>
  <c r="J21" i="1"/>
  <c r="L18" i="1"/>
  <c r="J12" i="1"/>
  <c r="I7" i="8"/>
  <c r="I5" i="8"/>
  <c r="I3" i="8"/>
  <c r="J7" i="13"/>
  <c r="L5" i="13"/>
  <c r="L32" i="13"/>
  <c r="J4" i="13"/>
  <c r="K36" i="13"/>
  <c r="K35" i="13"/>
  <c r="K34" i="13"/>
  <c r="L25" i="13"/>
  <c r="L17" i="13"/>
  <c r="S35" i="13"/>
  <c r="H7" i="8"/>
  <c r="H5" i="8"/>
  <c r="H3" i="8"/>
  <c r="J7" i="12"/>
  <c r="K5" i="12"/>
  <c r="J4" i="12"/>
  <c r="N32" i="12"/>
  <c r="S31" i="12"/>
  <c r="S30" i="12"/>
  <c r="S29" i="12"/>
  <c r="J12" i="12"/>
  <c r="G7" i="8"/>
  <c r="G5" i="8"/>
  <c r="G3" i="8"/>
  <c r="J7" i="11"/>
  <c r="L5" i="11"/>
  <c r="S30" i="11"/>
  <c r="L16" i="11"/>
  <c r="J12" i="11"/>
  <c r="J4" i="11" s="1"/>
  <c r="F7" i="8"/>
  <c r="F5" i="8"/>
  <c r="F3" i="8"/>
  <c r="I7" i="10"/>
  <c r="J5" i="10"/>
  <c r="I4" i="10"/>
  <c r="M23" i="10"/>
  <c r="Q22" i="10"/>
  <c r="E3" i="8"/>
  <c r="J5" i="9"/>
  <c r="E5" i="8" s="1"/>
  <c r="I4" i="9"/>
  <c r="I7" i="9" l="1"/>
  <c r="E7" i="8" s="1"/>
  <c r="X7" i="8"/>
  <c r="X5" i="8"/>
  <c r="X3" i="8"/>
  <c r="J17" i="7"/>
  <c r="J5" i="7"/>
  <c r="I4" i="7"/>
  <c r="J17" i="6"/>
  <c r="J5" i="6" s="1"/>
  <c r="I4" i="6"/>
  <c r="J16" i="5"/>
  <c r="J5" i="5" s="1"/>
  <c r="I4" i="5"/>
  <c r="J28" i="4"/>
  <c r="J16" i="4" s="1"/>
  <c r="J5" i="4" s="1"/>
  <c r="I4" i="4"/>
  <c r="I7" i="7" l="1"/>
  <c r="I7" i="6"/>
  <c r="I7" i="5"/>
  <c r="I7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Jish Nath</author>
  </authors>
  <commentList>
    <comment ref="N16" authorId="0" shapeId="0" xr:uid="{269F37B2-B498-4871-99C3-7EEF7D7BFFFF}">
      <text>
        <r>
          <rPr>
            <sz val="11"/>
            <color theme="1"/>
            <rFont val="Calibri"/>
            <family val="2"/>
            <scheme val="minor"/>
          </rPr>
          <t xml:space="preserve">Jish Nath:
for Q4-2016
</t>
        </r>
      </text>
    </comment>
    <comment ref="M24" authorId="0" shapeId="0" xr:uid="{5BF15858-8C87-4F32-87DC-16715D5BAB36}">
      <text>
        <t>Jish Nath:
past due</t>
      </text>
    </comment>
  </commentList>
</comments>
</file>

<file path=xl/sharedStrings.xml><?xml version="1.0" encoding="utf-8"?>
<sst xmlns="http://schemas.openxmlformats.org/spreadsheetml/2006/main" count="581" uniqueCount="250">
  <si>
    <t>Jan</t>
  </si>
  <si>
    <t>Feb</t>
  </si>
  <si>
    <t>Mar</t>
  </si>
  <si>
    <t>Apr</t>
  </si>
  <si>
    <t>May</t>
  </si>
  <si>
    <t>Jun</t>
  </si>
  <si>
    <t>July</t>
  </si>
  <si>
    <t>Aug</t>
  </si>
  <si>
    <t>Sep</t>
  </si>
  <si>
    <t>Oct</t>
  </si>
  <si>
    <t>Nov</t>
  </si>
  <si>
    <t>Dec</t>
  </si>
  <si>
    <t>Wages</t>
  </si>
  <si>
    <t>Fed Tax Withheld</t>
  </si>
  <si>
    <t>soc sec wages</t>
  </si>
  <si>
    <t>soc sec tax withheld</t>
  </si>
  <si>
    <t>medicare wages &amp; tips</t>
  </si>
  <si>
    <t>medicare taxes withheld</t>
  </si>
  <si>
    <t>soc sec tips</t>
  </si>
  <si>
    <t>Total Credits</t>
  </si>
  <si>
    <t>Total Debits</t>
  </si>
  <si>
    <t>Net Income</t>
  </si>
  <si>
    <t>Total Revenue</t>
  </si>
  <si>
    <t>Total Expenses</t>
  </si>
  <si>
    <t>RENT</t>
  </si>
  <si>
    <t>ELECTRICITY</t>
  </si>
  <si>
    <t>WASTE</t>
  </si>
  <si>
    <t>EQUIPMENT LEASING</t>
  </si>
  <si>
    <t>WA DOR</t>
  </si>
  <si>
    <t>2017 Excise</t>
  </si>
  <si>
    <t>Garnishment Fee</t>
  </si>
  <si>
    <t>Food Inventory</t>
  </si>
  <si>
    <t>Supplies</t>
  </si>
  <si>
    <t>STATIONARIES</t>
  </si>
  <si>
    <t>PAYROLL</t>
  </si>
  <si>
    <t>SS withheld by ADP</t>
  </si>
  <si>
    <t>Medicare Tax Withheld by ADP</t>
  </si>
  <si>
    <t xml:space="preserve">Fed Tax Withheld </t>
  </si>
  <si>
    <t>SERVICES</t>
  </si>
  <si>
    <t>ADP Fees</t>
  </si>
  <si>
    <t>Bank Fees</t>
  </si>
  <si>
    <t>LAUNDRY</t>
  </si>
  <si>
    <t>WEB HOSTING</t>
  </si>
  <si>
    <t>Comcast Business BROADBAND</t>
  </si>
  <si>
    <t>PHONE</t>
  </si>
  <si>
    <t>CELLULAR</t>
  </si>
  <si>
    <t>Digital Ads</t>
  </si>
  <si>
    <t>Asbestos</t>
  </si>
  <si>
    <t>Flooring Cement</t>
  </si>
  <si>
    <t>Paint</t>
  </si>
  <si>
    <t>Ceiling Speakers</t>
  </si>
  <si>
    <t>Equipment Purchase</t>
  </si>
  <si>
    <t>Cash Drawer</t>
  </si>
  <si>
    <t>Bathroom Holder</t>
  </si>
  <si>
    <t>Other Deposts/Additions</t>
  </si>
  <si>
    <t>ACH Payments</t>
  </si>
  <si>
    <t>ACH Deposits</t>
  </si>
  <si>
    <t>Manual Checks</t>
  </si>
  <si>
    <t>Card Withdrawals</t>
  </si>
  <si>
    <t>Other Withdrawals</t>
  </si>
  <si>
    <t>Payee</t>
  </si>
  <si>
    <t>Description</t>
  </si>
  <si>
    <t>Electricity</t>
  </si>
  <si>
    <t>Equipment</t>
  </si>
  <si>
    <t>Inventory</t>
  </si>
  <si>
    <t>Promissory</t>
  </si>
  <si>
    <t>Broadband</t>
  </si>
  <si>
    <t>Labor</t>
  </si>
  <si>
    <t>Fees</t>
  </si>
  <si>
    <t>Construction</t>
  </si>
  <si>
    <t>Check#1016</t>
  </si>
  <si>
    <t>Kris Robbins</t>
  </si>
  <si>
    <t>Promissory Note</t>
  </si>
  <si>
    <t>STATE OF WA</t>
  </si>
  <si>
    <t>LIQ PERMIT</t>
  </si>
  <si>
    <t>Deposits/Additions</t>
  </si>
  <si>
    <t>Check#1017</t>
  </si>
  <si>
    <t>King County</t>
  </si>
  <si>
    <t>Plan Review</t>
  </si>
  <si>
    <t>Check#1018</t>
  </si>
  <si>
    <t>Promissory Note#5</t>
  </si>
  <si>
    <t>Check#1019</t>
  </si>
  <si>
    <t>Promissory#6</t>
  </si>
  <si>
    <t>Check#1020</t>
  </si>
  <si>
    <t>Promissory#7</t>
  </si>
  <si>
    <t>Check#1021</t>
  </si>
  <si>
    <t>Jose Gomez</t>
  </si>
  <si>
    <t>Paint Job</t>
  </si>
  <si>
    <t>Check#1022</t>
  </si>
  <si>
    <t>Paint job</t>
  </si>
  <si>
    <t>Check#1023</t>
  </si>
  <si>
    <t>Bole Design</t>
  </si>
  <si>
    <t>Furniture</t>
  </si>
  <si>
    <t>Check#1024</t>
  </si>
  <si>
    <t>Coca-Cola Refreshments</t>
  </si>
  <si>
    <t>Beverage Installation</t>
  </si>
  <si>
    <t>Check#1025</t>
  </si>
  <si>
    <t>Promissory Note#8</t>
  </si>
  <si>
    <t>Deposit</t>
  </si>
  <si>
    <t>Square</t>
  </si>
  <si>
    <t>Kingswood</t>
  </si>
  <si>
    <t>Equipment Lease</t>
  </si>
  <si>
    <t>Service Charge</t>
  </si>
  <si>
    <t>Check#1026</t>
  </si>
  <si>
    <t>Maneesh Chugh</t>
  </si>
  <si>
    <t>Speakers</t>
  </si>
  <si>
    <t>Check#1027</t>
  </si>
  <si>
    <t>Promissory Note#9</t>
  </si>
  <si>
    <t>Check#1028</t>
  </si>
  <si>
    <t>Master Colors</t>
  </si>
  <si>
    <t>Flooring</t>
  </si>
  <si>
    <t>Pawnee</t>
  </si>
  <si>
    <t>Equipment Leasing</t>
  </si>
  <si>
    <t>Credit Square</t>
  </si>
  <si>
    <t>Check#1029</t>
  </si>
  <si>
    <t>Promissory Note#10</t>
  </si>
  <si>
    <t>Check#1030</t>
  </si>
  <si>
    <t>Filing Fee</t>
  </si>
  <si>
    <t>Check#1031</t>
  </si>
  <si>
    <t>Check#1036</t>
  </si>
  <si>
    <t>OD fee</t>
  </si>
  <si>
    <t>OTC Withdrawal</t>
  </si>
  <si>
    <t>Total Checks</t>
  </si>
  <si>
    <t>Check#1037</t>
  </si>
  <si>
    <t>Griffin Richardson</t>
  </si>
  <si>
    <t>cleanup</t>
  </si>
  <si>
    <t>overdraft fee</t>
  </si>
  <si>
    <t>Equip</t>
  </si>
  <si>
    <t>Check#</t>
  </si>
  <si>
    <t>Card Transactions</t>
  </si>
  <si>
    <t>Misc Svcs</t>
  </si>
  <si>
    <t>Cash&amp;Carry</t>
  </si>
  <si>
    <t>Groceries</t>
  </si>
  <si>
    <t>comcast cable</t>
  </si>
  <si>
    <t>Dick's Restaurant Supply</t>
  </si>
  <si>
    <t>Equipments</t>
  </si>
  <si>
    <t>Craigslist</t>
  </si>
  <si>
    <t>Ad</t>
  </si>
  <si>
    <t>health insurance</t>
  </si>
  <si>
    <t>molina</t>
  </si>
  <si>
    <t>Manual Deposts</t>
  </si>
  <si>
    <t>Other Withdrawal</t>
  </si>
  <si>
    <t>labor</t>
  </si>
  <si>
    <t>Check#3026</t>
  </si>
  <si>
    <t>Franz</t>
  </si>
  <si>
    <t>Bread</t>
  </si>
  <si>
    <t>Check#3031</t>
  </si>
  <si>
    <t>D&amp;E Mercer Investments</t>
  </si>
  <si>
    <t>Rent</t>
  </si>
  <si>
    <t>Check#3032</t>
  </si>
  <si>
    <t>Advocate Telecom</t>
  </si>
  <si>
    <t>Low Voltage Wiring</t>
  </si>
  <si>
    <t>Check#3034</t>
  </si>
  <si>
    <t>PSE</t>
  </si>
  <si>
    <t>Electric Bill</t>
  </si>
  <si>
    <t>Check#3035</t>
  </si>
  <si>
    <t>Check#3036</t>
  </si>
  <si>
    <t>yesseny</t>
  </si>
  <si>
    <t>ACH</t>
  </si>
  <si>
    <t>ADP</t>
  </si>
  <si>
    <t>Payroll Tax</t>
  </si>
  <si>
    <t>Payroll</t>
  </si>
  <si>
    <t>Payroll Fees</t>
  </si>
  <si>
    <t>Payroll Tax/401k</t>
  </si>
  <si>
    <t>Transfers</t>
  </si>
  <si>
    <t>Check#3037</t>
  </si>
  <si>
    <t>Rent October</t>
  </si>
  <si>
    <t>Check#3038</t>
  </si>
  <si>
    <t>Naresh Lakhanpal</t>
  </si>
  <si>
    <t>Tax/401K</t>
  </si>
  <si>
    <t>Pawnee Leasing</t>
  </si>
  <si>
    <t xml:space="preserve">ADP </t>
  </si>
  <si>
    <t>Card Trns</t>
  </si>
  <si>
    <t>Facebook</t>
  </si>
  <si>
    <t>Quality Food</t>
  </si>
  <si>
    <t>Foods</t>
  </si>
  <si>
    <t>Comcast</t>
  </si>
  <si>
    <t>Walmart</t>
  </si>
  <si>
    <t>foods</t>
  </si>
  <si>
    <t>BestBuy</t>
  </si>
  <si>
    <t>equipment</t>
  </si>
  <si>
    <t>Fred Meyer</t>
  </si>
  <si>
    <t>TimePayment</t>
  </si>
  <si>
    <t>Furniture Leasing</t>
  </si>
  <si>
    <t>India Supermarket</t>
  </si>
  <si>
    <t>Food supplies</t>
  </si>
  <si>
    <t>marshalls</t>
  </si>
  <si>
    <t>decors</t>
  </si>
  <si>
    <t>staples</t>
  </si>
  <si>
    <t>walgreens</t>
  </si>
  <si>
    <t>food supplies</t>
  </si>
  <si>
    <t>UPS</t>
  </si>
  <si>
    <t>cash&amp;carry</t>
  </si>
  <si>
    <t>Albertsons</t>
  </si>
  <si>
    <t>Other Deposits</t>
  </si>
  <si>
    <t>Check#3040</t>
  </si>
  <si>
    <t>Grocery</t>
  </si>
  <si>
    <t>Check#3041</t>
  </si>
  <si>
    <t>Franz Bakery</t>
  </si>
  <si>
    <t>Check#3042</t>
  </si>
  <si>
    <t>New System</t>
  </si>
  <si>
    <t>Laundry</t>
  </si>
  <si>
    <t>Check#3043</t>
  </si>
  <si>
    <t>Check#3044</t>
  </si>
  <si>
    <t>rehan dost</t>
  </si>
  <si>
    <t>Cleaning</t>
  </si>
  <si>
    <t>Check#3045</t>
  </si>
  <si>
    <t>Check#3046</t>
  </si>
  <si>
    <t>Check#3047</t>
  </si>
  <si>
    <t>ravi video</t>
  </si>
  <si>
    <t>supplies</t>
  </si>
  <si>
    <t>pawnee</t>
  </si>
  <si>
    <t>equipment leasing</t>
  </si>
  <si>
    <t>payroll fees</t>
  </si>
  <si>
    <t>homedepot</t>
  </si>
  <si>
    <t>Card</t>
  </si>
  <si>
    <t>facebook</t>
  </si>
  <si>
    <t>walmart</t>
  </si>
  <si>
    <t>time payment</t>
  </si>
  <si>
    <t>comcast</t>
  </si>
  <si>
    <t>cable</t>
  </si>
  <si>
    <t>albertsons</t>
  </si>
  <si>
    <t>dish</t>
  </si>
  <si>
    <t>Mobile</t>
  </si>
  <si>
    <t>LABOR</t>
  </si>
  <si>
    <t>Check#3048</t>
  </si>
  <si>
    <t>naresh lakhanpal</t>
  </si>
  <si>
    <t>groceries</t>
  </si>
  <si>
    <t>Check#3049</t>
  </si>
  <si>
    <t>Verizon</t>
  </si>
  <si>
    <t>square</t>
  </si>
  <si>
    <t>processing fee</t>
  </si>
  <si>
    <t>TAX/401K</t>
  </si>
  <si>
    <t>adp</t>
  </si>
  <si>
    <t>Rev Taxes</t>
  </si>
  <si>
    <t>Business Purchase</t>
  </si>
  <si>
    <t>registration fee</t>
  </si>
  <si>
    <t>permit</t>
  </si>
  <si>
    <t>utilities</t>
  </si>
  <si>
    <t>garbage</t>
  </si>
  <si>
    <t>wifi</t>
  </si>
  <si>
    <t>furniture</t>
  </si>
  <si>
    <t>lights</t>
  </si>
  <si>
    <t>sound system</t>
  </si>
  <si>
    <t>concrete floor</t>
  </si>
  <si>
    <t>doormats</t>
  </si>
  <si>
    <t>ecolab</t>
  </si>
  <si>
    <t>excise tax</t>
  </si>
  <si>
    <t>painting</t>
  </si>
  <si>
    <t>ceiling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</si>
</sst>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(&quot;$&quot;* #,##0.00_);_(&quot;$&quot;* \(#,##0.00\);_(&quot;$&quot;* &quot;-&quot;??_);_(@_)"/>
  </numFmts>
  <fonts count="9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444444"/>
      <name val="Calibri"/>
      <family val="2"/>
      <charset val="1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5" fillId="0" borderId="0" applyFont="0" applyFill="0" applyBorder="0" applyAlignment="0" applyProtection="0"/>
  </cellStyleXfs>
  <cellXfs count="21">
    <xf numFmtId="0" fontId="0" fillId="0" borderId="0" xfId="0"/>
    <xf numFmtId="14" fontId="0" fillId="0" borderId="0" xfId="0" applyNumberFormat="1"/>
    <xf numFmtId="0" fontId="4" fillId="0" borderId="0" xfId="0" applyFont="1"/>
    <xf numFmtId="0" fontId="2" fillId="0" borderId="0" xfId="0" applyFont="1"/>
    <xf numFmtId="44" fontId="0" fillId="0" borderId="0" xfId="0" applyNumberFormat="1"/>
    <xf numFmtId="44" fontId="2" fillId="0" borderId="0" xfId="0" applyNumberFormat="1" applyFont="1"/>
    <xf numFmtId="44" fontId="4" fillId="0" borderId="0" xfId="0" applyNumberFormat="1" applyFont="1"/>
    <xf numFmtId="44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44" fontId="2" fillId="0" borderId="0" xfId="1" applyFont="1"/>
    <xf numFmtId="44" fontId="1" fillId="2" borderId="0" xfId="1" applyFont="1" applyFill="1" applyAlignment="1">
      <alignment horizontal="center"/>
    </xf>
    <xf numFmtId="0" fontId="6" fillId="0" borderId="0" xfId="0" applyFont="1"/>
    <xf numFmtId="0" fontId="0" fillId="0" borderId="0" xfId="0" applyFont="1"/>
    <xf numFmtId="44" fontId="0" fillId="0" borderId="0" xfId="1" applyFont="1"/>
    <xf numFmtId="44" fontId="4" fillId="0" borderId="0" xfId="1" applyFont="1"/>
    <xf numFmtId="44" fontId="1" fillId="2" borderId="0" xfId="1" applyFont="1" applyFill="1" applyAlignment="1">
      <alignment horizontal="center" wrapText="1"/>
    </xf>
    <xf numFmtId="0" fontId="0" fillId="0" borderId="0" xfId="0" applyAlignment="1">
      <alignment horizontal="left" indent="2"/>
    </xf>
    <xf numFmtId="0" fontId="7" fillId="0" borderId="0" xfId="0" applyFont="1"/>
    <xf numFmtId="0" fontId="8" fillId="0" borderId="0" xfId="0" applyFont="1"/>
    <xf numFmtId="44" fontId="8" fillId="0" borderId="0" xfId="0" applyNumberFormat="1" applyFont="1"/>
    <xf numFmtId="44" fontId="8" fillId="0" borderId="0" xfId="1" applyFont="1"/>
  </cellXfs>
  <cellStyles count="2">
    <cellStyle name="Currency" xfId="1" builtinId="4"/>
    <cellStyle name="Normal" xfId="0" builtinId="0"/>
  </cellStyles>
  <dxfs count="0"/>
  <tableStyles count="1" defaultTableStyle="TableStyleMedium2" defaultPivotStyle="PivotStyleLight16">
    <tableStyle name="Invisible" pivot="0" table="0" count="0" xr9:uid="{300F69A4-9DBD-423F-9F54-84C5D1C04E3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9AA9C-61C9-4975-BB64-8B1CACDBE560}">
  <sheetPr>
    <pageSetUpPr fitToPage="1"/>
  </sheetPr>
  <dimension ref="B2:X58"/>
  <sheetViews>
    <sheetView tabSelected="1" workbookViewId="0">
      <pane xSplit="16" ySplit="7" topLeftCell="Q12" activePane="bottomRight" state="frozen"/>
      <selection pane="bottomRight" activeCell="P21" sqref="P21"/>
      <selection pane="bottomLeft"/>
      <selection pane="topRight"/>
    </sheetView>
  </sheetViews>
  <sheetFormatPr defaultRowHeight="15"/>
  <cols>
    <col min="3" max="3" width="30.140625" bestFit="1" customWidth="1"/>
    <col min="4" max="4" width="19.85546875" customWidth="1"/>
    <col min="5" max="10" width="12.140625" customWidth="1"/>
    <col min="11" max="11" width="11.5703125" style="4" bestFit="1" customWidth="1"/>
    <col min="12" max="13" width="10.5703125" style="13" bestFit="1" customWidth="1"/>
    <col min="14" max="14" width="10.85546875" style="13" bestFit="1" customWidth="1"/>
    <col min="15" max="15" width="10.5703125" style="13" bestFit="1" customWidth="1"/>
    <col min="16" max="16" width="10.85546875" style="13" bestFit="1" customWidth="1"/>
    <col min="17" max="17" width="10.5703125" style="13" bestFit="1" customWidth="1"/>
    <col min="18" max="23" width="10.5703125" style="13" customWidth="1"/>
    <col min="24" max="24" width="11.5703125" bestFit="1" customWidth="1"/>
  </cols>
  <sheetData>
    <row r="2" spans="3:24" ht="45">
      <c r="E2" s="8" t="s">
        <v>0</v>
      </c>
      <c r="F2" s="8" t="s">
        <v>1</v>
      </c>
      <c r="G2" s="8" t="s">
        <v>2</v>
      </c>
      <c r="H2" s="8" t="s">
        <v>3</v>
      </c>
      <c r="I2" s="8" t="s">
        <v>4</v>
      </c>
      <c r="J2" s="8" t="s">
        <v>5</v>
      </c>
      <c r="K2" s="7" t="s">
        <v>6</v>
      </c>
      <c r="L2" s="10" t="s">
        <v>7</v>
      </c>
      <c r="M2" s="10" t="s">
        <v>8</v>
      </c>
      <c r="N2" s="10" t="s">
        <v>9</v>
      </c>
      <c r="O2" s="10" t="s">
        <v>10</v>
      </c>
      <c r="P2" s="10" t="s">
        <v>11</v>
      </c>
      <c r="Q2" s="15" t="s">
        <v>12</v>
      </c>
      <c r="R2" s="15" t="s">
        <v>13</v>
      </c>
      <c r="S2" s="15" t="s">
        <v>14</v>
      </c>
      <c r="T2" s="15" t="s">
        <v>15</v>
      </c>
      <c r="U2" s="15" t="s">
        <v>16</v>
      </c>
      <c r="V2" s="15" t="s">
        <v>17</v>
      </c>
      <c r="W2" s="15" t="s">
        <v>18</v>
      </c>
      <c r="X2" s="8">
        <v>2016</v>
      </c>
    </row>
    <row r="3" spans="3:24" s="2" customFormat="1" hidden="1">
      <c r="C3" s="2" t="s">
        <v>19</v>
      </c>
      <c r="E3" s="14">
        <f>Jan!I4</f>
        <v>20</v>
      </c>
      <c r="F3" s="14">
        <f>Feb!I4</f>
        <v>1300</v>
      </c>
      <c r="G3" s="14">
        <f>Mar!J4</f>
        <v>2800</v>
      </c>
      <c r="H3" s="14">
        <f>April!J4</f>
        <v>6100</v>
      </c>
      <c r="I3" s="14">
        <f>May!J4</f>
        <v>233.33</v>
      </c>
      <c r="J3" s="14">
        <f>June!J4</f>
        <v>2203.19</v>
      </c>
      <c r="K3" s="14">
        <f>July!J4</f>
        <v>3483.9399999999996</v>
      </c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>
        <f t="shared" ref="X3:X5" si="0">SUM(E3:P3)</f>
        <v>16140.46</v>
      </c>
    </row>
    <row r="4" spans="3:24" hidden="1">
      <c r="E4" s="13"/>
      <c r="F4" s="13"/>
      <c r="G4" s="13"/>
      <c r="H4" s="13"/>
      <c r="I4" s="13"/>
      <c r="J4" s="13"/>
      <c r="K4" s="13"/>
      <c r="X4" s="14"/>
    </row>
    <row r="5" spans="3:24" s="3" customFormat="1" hidden="1">
      <c r="C5" s="3" t="s">
        <v>20</v>
      </c>
      <c r="E5" s="9">
        <f>Jan!J5</f>
        <v>591.98</v>
      </c>
      <c r="F5" s="9">
        <f>Feb!J5</f>
        <v>1236.98</v>
      </c>
      <c r="G5" s="9">
        <f>Mar!L5</f>
        <v>1600</v>
      </c>
      <c r="H5" s="9">
        <f>April!K5</f>
        <v>5211.5599999999995</v>
      </c>
      <c r="I5" s="9">
        <f>May!L5</f>
        <v>1983.63</v>
      </c>
      <c r="J5" s="9">
        <f>June!L5</f>
        <v>1729.8899999999999</v>
      </c>
      <c r="K5" s="9">
        <f>July!L5</f>
        <v>2989.47</v>
      </c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>
        <f t="shared" si="0"/>
        <v>15343.51</v>
      </c>
    </row>
    <row r="6" spans="3:24" hidden="1">
      <c r="E6" s="13"/>
      <c r="F6" s="13"/>
      <c r="G6" s="13"/>
      <c r="H6" s="13"/>
      <c r="I6" s="13"/>
      <c r="J6" s="13"/>
      <c r="K6" s="13"/>
      <c r="X6" s="14"/>
    </row>
    <row r="7" spans="3:24" hidden="1">
      <c r="C7" t="s">
        <v>21</v>
      </c>
      <c r="E7" s="9">
        <f>Jan!I7</f>
        <v>-571.98</v>
      </c>
      <c r="F7" s="14">
        <f>Feb!I7</f>
        <v>63.019999999999982</v>
      </c>
      <c r="G7" s="14">
        <f>Mar!J7</f>
        <v>1200</v>
      </c>
      <c r="H7" s="14">
        <f>April!J7</f>
        <v>888.44000000000051</v>
      </c>
      <c r="I7" s="9">
        <f>May!J7</f>
        <v>-1750.3000000000002</v>
      </c>
      <c r="J7" s="14">
        <f>J3-J5</f>
        <v>473.30000000000018</v>
      </c>
      <c r="K7" s="14">
        <f>July!J7</f>
        <v>494.4699999999998</v>
      </c>
      <c r="L7" s="14"/>
      <c r="M7" s="9"/>
      <c r="N7" s="9"/>
      <c r="O7" s="14"/>
      <c r="P7" s="14"/>
      <c r="X7" s="14">
        <f>SUM(E7:P7)</f>
        <v>796.95000000000027</v>
      </c>
    </row>
    <row r="8" spans="3:24">
      <c r="C8" t="s">
        <v>22</v>
      </c>
      <c r="D8" s="4">
        <f>SUM(E8:P8)</f>
        <v>26381.74</v>
      </c>
      <c r="E8" s="13">
        <v>10366.82</v>
      </c>
      <c r="F8" s="13">
        <v>9087.2999999999993</v>
      </c>
      <c r="G8" s="13">
        <v>4168.17</v>
      </c>
      <c r="H8" s="13">
        <v>2759.45</v>
      </c>
      <c r="I8" s="13"/>
      <c r="J8" s="13"/>
      <c r="K8" s="13"/>
      <c r="X8" s="13"/>
    </row>
    <row r="9" spans="3:24" s="18" customFormat="1">
      <c r="C9" s="18" t="s">
        <v>23</v>
      </c>
      <c r="D9" s="19">
        <f>SUM(D11:D48)</f>
        <v>36272.684999999998</v>
      </c>
      <c r="E9" s="20">
        <f t="shared" ref="E9:L9" si="1">SUM(E11:E42)</f>
        <v>8520.7200000000012</v>
      </c>
      <c r="F9" s="20">
        <f t="shared" si="1"/>
        <v>7824.76</v>
      </c>
      <c r="G9" s="20">
        <f t="shared" si="1"/>
        <v>3929.9200000000005</v>
      </c>
      <c r="H9" s="20">
        <f>SUM(H11:H42)</f>
        <v>7031.0700000000006</v>
      </c>
      <c r="I9" s="20">
        <f t="shared" si="1"/>
        <v>705.06999999999994</v>
      </c>
      <c r="J9" s="20">
        <f t="shared" si="1"/>
        <v>199.84</v>
      </c>
      <c r="K9" s="20">
        <f t="shared" si="1"/>
        <v>701.08</v>
      </c>
      <c r="L9" s="20">
        <f t="shared" si="1"/>
        <v>282</v>
      </c>
      <c r="M9" s="20">
        <f>SUM(M11:M42)</f>
        <v>1216.3399999999999</v>
      </c>
      <c r="N9" s="20">
        <f t="shared" ref="N9:P9" si="2">SUM(N11:N42)</f>
        <v>3311.71</v>
      </c>
      <c r="O9" s="20">
        <f t="shared" si="2"/>
        <v>7</v>
      </c>
      <c r="P9" s="20">
        <f t="shared" si="2"/>
        <v>1077</v>
      </c>
      <c r="Q9" s="20"/>
      <c r="R9" s="20"/>
      <c r="S9" s="20"/>
      <c r="T9" s="20"/>
      <c r="U9" s="20"/>
      <c r="V9" s="20"/>
      <c r="W9" s="20"/>
      <c r="X9" s="20"/>
    </row>
    <row r="10" spans="3:24">
      <c r="E10" s="13"/>
      <c r="F10" s="13"/>
      <c r="G10" s="13"/>
      <c r="H10" s="13"/>
      <c r="I10" s="13"/>
      <c r="J10" s="13"/>
      <c r="K10" s="13"/>
      <c r="X10" s="13"/>
    </row>
    <row r="11" spans="3:24">
      <c r="C11" t="s">
        <v>24</v>
      </c>
      <c r="D11" s="4">
        <f>SUM(E11:P11)</f>
        <v>7800</v>
      </c>
      <c r="E11" s="13">
        <v>3900</v>
      </c>
      <c r="G11" s="13"/>
      <c r="H11" s="13">
        <v>3900</v>
      </c>
      <c r="I11" s="13"/>
      <c r="J11" s="13"/>
      <c r="K11" s="13"/>
      <c r="X11" s="13"/>
    </row>
    <row r="12" spans="3:24">
      <c r="C12" t="s">
        <v>25</v>
      </c>
      <c r="D12" s="4">
        <f t="shared" ref="D12:D41" si="3">SUM(E12:P12)</f>
        <v>0</v>
      </c>
      <c r="E12" s="13"/>
      <c r="F12" s="13"/>
      <c r="G12" s="13"/>
      <c r="H12" s="13"/>
      <c r="I12" s="13"/>
      <c r="J12" s="13"/>
      <c r="K12" s="13"/>
      <c r="X12" s="13"/>
    </row>
    <row r="13" spans="3:24">
      <c r="C13" t="s">
        <v>26</v>
      </c>
      <c r="D13" s="4">
        <f t="shared" si="3"/>
        <v>0</v>
      </c>
      <c r="E13" s="13"/>
      <c r="F13" s="13"/>
      <c r="G13" s="13"/>
      <c r="H13" s="13"/>
      <c r="I13" s="13"/>
      <c r="J13" s="13"/>
      <c r="K13" s="13"/>
      <c r="X13" s="13"/>
    </row>
    <row r="14" spans="3:24">
      <c r="C14" t="s">
        <v>27</v>
      </c>
      <c r="D14" s="4">
        <f t="shared" si="3"/>
        <v>2358.25</v>
      </c>
      <c r="E14" s="13">
        <v>474.05</v>
      </c>
      <c r="F14" s="13">
        <v>471.05</v>
      </c>
      <c r="G14" s="13">
        <v>471.05</v>
      </c>
      <c r="H14" s="13">
        <v>471.05</v>
      </c>
      <c r="I14" s="13">
        <v>471.05</v>
      </c>
      <c r="J14" s="13"/>
      <c r="K14" s="13"/>
      <c r="X14" s="13"/>
    </row>
    <row r="15" spans="3:24">
      <c r="D15" s="4">
        <f t="shared" si="3"/>
        <v>0</v>
      </c>
      <c r="E15" s="13"/>
      <c r="F15" s="13"/>
      <c r="G15" s="13"/>
      <c r="H15" s="13"/>
      <c r="I15" s="13"/>
      <c r="J15" s="13"/>
      <c r="K15" s="13"/>
      <c r="X15" s="13"/>
    </row>
    <row r="16" spans="3:24">
      <c r="C16" t="s">
        <v>28</v>
      </c>
      <c r="D16" s="4">
        <f>SUM(E16:P16)</f>
        <v>9325.49</v>
      </c>
      <c r="E16" s="13">
        <v>1942.18</v>
      </c>
      <c r="F16" s="13">
        <v>2344.46</v>
      </c>
      <c r="G16" s="13">
        <v>385.9</v>
      </c>
      <c r="H16" s="13"/>
      <c r="I16" s="13"/>
      <c r="J16" s="13"/>
      <c r="K16" s="13">
        <v>341.24</v>
      </c>
      <c r="N16" s="13">
        <v>3311.71</v>
      </c>
      <c r="P16" s="13">
        <v>1000</v>
      </c>
      <c r="X16" s="13"/>
    </row>
    <row r="17" spans="3:24">
      <c r="C17" t="s">
        <v>29</v>
      </c>
      <c r="D17" s="4">
        <f>SUM(E17:P17)</f>
        <v>3056.02</v>
      </c>
      <c r="E17" s="4">
        <v>1303.2</v>
      </c>
      <c r="F17" s="13">
        <v>1044.17</v>
      </c>
      <c r="G17">
        <v>432.3</v>
      </c>
      <c r="H17" s="13">
        <v>276.35000000000002</v>
      </c>
      <c r="I17" s="13"/>
      <c r="J17" s="13"/>
      <c r="K17" s="13"/>
      <c r="X17" s="13"/>
    </row>
    <row r="18" spans="3:24">
      <c r="C18" t="s">
        <v>30</v>
      </c>
      <c r="D18" s="4">
        <f t="shared" si="3"/>
        <v>625</v>
      </c>
      <c r="E18" s="13">
        <v>125</v>
      </c>
      <c r="F18" s="13">
        <v>125</v>
      </c>
      <c r="G18" s="13">
        <v>125</v>
      </c>
      <c r="H18" s="13"/>
      <c r="I18" s="13"/>
      <c r="J18" s="13"/>
      <c r="K18" s="13">
        <v>125</v>
      </c>
      <c r="L18" s="13">
        <v>125</v>
      </c>
      <c r="X18" s="13"/>
    </row>
    <row r="19" spans="3:24">
      <c r="D19" s="4">
        <f t="shared" si="3"/>
        <v>0</v>
      </c>
      <c r="E19" s="13"/>
      <c r="F19" s="13"/>
      <c r="G19" s="13"/>
      <c r="H19" s="13"/>
      <c r="I19" s="13"/>
      <c r="J19" s="13"/>
      <c r="K19" s="13"/>
      <c r="X19" s="13"/>
    </row>
    <row r="20" spans="3:24">
      <c r="C20" t="s">
        <v>31</v>
      </c>
      <c r="D20" s="4">
        <f t="shared" si="3"/>
        <v>371.78000000000003</v>
      </c>
      <c r="E20" s="13">
        <f>267.16+33.03</f>
        <v>300.19000000000005</v>
      </c>
      <c r="F20" s="13"/>
      <c r="G20" s="13">
        <v>21.01</v>
      </c>
      <c r="H20" s="13">
        <v>50.58</v>
      </c>
      <c r="I20" s="13"/>
      <c r="J20" s="13"/>
      <c r="K20" s="13"/>
      <c r="X20" s="13"/>
    </row>
    <row r="21" spans="3:24">
      <c r="C21" t="s">
        <v>32</v>
      </c>
      <c r="D21" s="4">
        <f t="shared" si="3"/>
        <v>115.38000000000001</v>
      </c>
      <c r="E21" s="13">
        <f>32.84+61.78</f>
        <v>94.62</v>
      </c>
      <c r="F21" s="13">
        <v>20.76</v>
      </c>
      <c r="G21" s="13"/>
      <c r="H21" s="13"/>
      <c r="I21" s="13"/>
      <c r="J21" s="13"/>
      <c r="K21" s="13"/>
      <c r="X21" s="13"/>
    </row>
    <row r="22" spans="3:24">
      <c r="C22" t="s">
        <v>33</v>
      </c>
      <c r="D22" s="4">
        <f t="shared" si="3"/>
        <v>0</v>
      </c>
      <c r="E22" s="13"/>
      <c r="F22" s="13"/>
      <c r="G22" s="13"/>
      <c r="H22" s="13"/>
      <c r="I22" s="13"/>
      <c r="J22" s="13"/>
      <c r="K22" s="13"/>
      <c r="X22" s="13"/>
    </row>
    <row r="23" spans="3:24">
      <c r="C23" s="11" t="s">
        <v>34</v>
      </c>
      <c r="D23" s="4">
        <f t="shared" si="3"/>
        <v>0</v>
      </c>
      <c r="E23" s="13"/>
      <c r="F23" s="13"/>
      <c r="G23" s="13"/>
      <c r="H23" s="13"/>
      <c r="I23" s="13"/>
      <c r="J23" s="13"/>
      <c r="K23" s="13"/>
      <c r="X23" s="13"/>
    </row>
    <row r="24" spans="3:24">
      <c r="C24" s="16" t="s">
        <v>12</v>
      </c>
      <c r="D24" s="4">
        <v>912.6</v>
      </c>
      <c r="E24" s="13"/>
      <c r="F24" s="13"/>
      <c r="G24" s="13"/>
      <c r="H24" s="13"/>
      <c r="I24" s="13"/>
      <c r="J24" s="13"/>
      <c r="K24" s="13"/>
      <c r="M24" s="13">
        <f>768.5+370</f>
        <v>1138.5</v>
      </c>
      <c r="X24" s="13"/>
    </row>
    <row r="25" spans="3:24">
      <c r="C25" s="16" t="s">
        <v>35</v>
      </c>
      <c r="D25" s="17">
        <v>56.59</v>
      </c>
      <c r="E25" s="13"/>
      <c r="F25" s="13"/>
      <c r="G25" s="13"/>
      <c r="H25" s="13"/>
      <c r="I25" s="13"/>
      <c r="J25" s="13"/>
      <c r="K25" s="13"/>
      <c r="X25" s="13"/>
    </row>
    <row r="26" spans="3:24">
      <c r="C26" s="16" t="s">
        <v>36</v>
      </c>
      <c r="D26" s="17">
        <v>13.23</v>
      </c>
      <c r="E26" s="13"/>
      <c r="F26" s="13"/>
      <c r="G26" s="13"/>
      <c r="H26" s="13"/>
      <c r="I26" s="13"/>
      <c r="J26" s="13"/>
      <c r="K26" s="13"/>
      <c r="X26" s="13"/>
    </row>
    <row r="27" spans="3:24">
      <c r="C27" t="s">
        <v>37</v>
      </c>
      <c r="D27" s="17">
        <v>1.98</v>
      </c>
      <c r="E27" s="13"/>
      <c r="F27" s="13"/>
      <c r="G27" s="13"/>
      <c r="H27" s="13"/>
      <c r="I27" s="13"/>
      <c r="J27" s="13"/>
      <c r="K27" s="13"/>
      <c r="X27" s="13"/>
    </row>
    <row r="28" spans="3:24">
      <c r="C28" t="s">
        <v>38</v>
      </c>
      <c r="D28" s="4">
        <f t="shared" si="3"/>
        <v>7131</v>
      </c>
      <c r="E28" s="13"/>
      <c r="F28" s="13">
        <f>500+400+400+100+500+600+85+386</f>
        <v>2971</v>
      </c>
      <c r="G28" s="13">
        <f>70+100+205+1100+610</f>
        <v>2085</v>
      </c>
      <c r="H28" s="13">
        <v>2075</v>
      </c>
      <c r="I28" s="13"/>
      <c r="J28" s="13"/>
      <c r="K28" s="13"/>
      <c r="X28" s="13"/>
    </row>
    <row r="29" spans="3:24">
      <c r="C29" t="s">
        <v>39</v>
      </c>
      <c r="D29" s="4">
        <f t="shared" si="3"/>
        <v>464.2700000000001</v>
      </c>
      <c r="E29" s="13"/>
      <c r="F29" s="13">
        <f>45.57+25+139.5</f>
        <v>210.07</v>
      </c>
      <c r="G29" s="13">
        <v>42.84</v>
      </c>
      <c r="H29" s="13">
        <v>42.84</v>
      </c>
      <c r="I29" s="13">
        <v>10</v>
      </c>
      <c r="J29" s="13">
        <v>52.84</v>
      </c>
      <c r="K29" s="13">
        <f>10+42.84</f>
        <v>52.84</v>
      </c>
      <c r="L29" s="13">
        <v>10</v>
      </c>
      <c r="M29" s="13">
        <v>42.84</v>
      </c>
      <c r="X29" s="13"/>
    </row>
    <row r="30" spans="3:24">
      <c r="C30" t="s">
        <v>40</v>
      </c>
      <c r="D30" s="4">
        <f t="shared" si="3"/>
        <v>1408.5</v>
      </c>
      <c r="E30" s="13">
        <f>70+10</f>
        <v>80</v>
      </c>
      <c r="F30" s="13">
        <f>385+70+10</f>
        <v>465</v>
      </c>
      <c r="G30" s="13">
        <f>175+7</f>
        <v>182</v>
      </c>
      <c r="H30" s="13">
        <f>35+7</f>
        <v>42</v>
      </c>
      <c r="I30" s="13">
        <f>35+9.5</f>
        <v>44.5</v>
      </c>
      <c r="J30" s="13">
        <f>140+7</f>
        <v>147</v>
      </c>
      <c r="K30" s="13">
        <f>175+7</f>
        <v>182</v>
      </c>
      <c r="L30" s="13">
        <f>140+7</f>
        <v>147</v>
      </c>
      <c r="M30" s="13">
        <f>35</f>
        <v>35</v>
      </c>
      <c r="N30" s="13">
        <v>0</v>
      </c>
      <c r="O30" s="13">
        <v>7</v>
      </c>
      <c r="P30" s="13">
        <f>70+7</f>
        <v>77</v>
      </c>
      <c r="X30" s="13"/>
    </row>
    <row r="31" spans="3:24">
      <c r="D31" s="4"/>
      <c r="E31" s="13"/>
      <c r="F31" s="13"/>
      <c r="G31" s="13"/>
      <c r="H31" s="13"/>
      <c r="I31" s="13"/>
      <c r="J31" s="13"/>
      <c r="K31" s="13"/>
      <c r="X31" s="13"/>
    </row>
    <row r="32" spans="3:24">
      <c r="D32" s="4"/>
      <c r="E32" s="13"/>
      <c r="F32" s="13"/>
      <c r="G32" s="13"/>
      <c r="H32" s="13"/>
      <c r="I32" s="13"/>
      <c r="J32" s="13"/>
      <c r="K32" s="13"/>
      <c r="X32" s="13"/>
    </row>
    <row r="33" spans="2:24">
      <c r="C33" t="s">
        <v>41</v>
      </c>
      <c r="D33" s="4">
        <f t="shared" si="3"/>
        <v>0</v>
      </c>
      <c r="E33" s="13"/>
      <c r="F33" s="13"/>
      <c r="G33" s="13"/>
      <c r="H33" s="13"/>
      <c r="I33" s="13"/>
      <c r="J33" s="13"/>
      <c r="K33" s="13"/>
      <c r="X33" s="13"/>
    </row>
    <row r="34" spans="2:24">
      <c r="D34" s="4">
        <f t="shared" si="3"/>
        <v>0</v>
      </c>
      <c r="E34" s="13"/>
      <c r="F34" s="13"/>
      <c r="G34" s="13"/>
      <c r="H34" s="13"/>
      <c r="I34" s="13"/>
      <c r="J34" s="13"/>
      <c r="K34" s="13"/>
      <c r="X34" s="13"/>
    </row>
    <row r="35" spans="2:24">
      <c r="D35" s="4">
        <f t="shared" si="3"/>
        <v>0</v>
      </c>
      <c r="E35" s="13"/>
      <c r="F35" s="13"/>
      <c r="G35" s="13"/>
      <c r="H35" s="13"/>
      <c r="I35" s="13"/>
      <c r="J35" s="13"/>
      <c r="K35" s="13"/>
      <c r="X35" s="13"/>
    </row>
    <row r="36" spans="2:24">
      <c r="C36" t="s">
        <v>42</v>
      </c>
      <c r="D36" s="4">
        <v>360</v>
      </c>
      <c r="E36" s="13"/>
      <c r="F36" s="13"/>
      <c r="G36" s="13"/>
      <c r="H36" s="13"/>
      <c r="I36" s="13"/>
      <c r="J36" s="13"/>
      <c r="K36" s="13"/>
      <c r="X36" s="13"/>
    </row>
    <row r="37" spans="2:24">
      <c r="C37" t="s">
        <v>43</v>
      </c>
      <c r="D37" s="4">
        <f>SUM(E37:P37)</f>
        <v>884.19</v>
      </c>
      <c r="E37" s="13">
        <v>173.35</v>
      </c>
      <c r="F37" s="13">
        <v>173.25</v>
      </c>
      <c r="G37" s="13">
        <v>184.82</v>
      </c>
      <c r="H37" s="13">
        <v>173.25</v>
      </c>
      <c r="I37" s="13">
        <v>179.52</v>
      </c>
      <c r="J37" s="13"/>
      <c r="K37" s="13"/>
      <c r="X37" s="13"/>
    </row>
    <row r="38" spans="2:24">
      <c r="C38" t="s">
        <v>44</v>
      </c>
      <c r="D38" s="4">
        <v>420</v>
      </c>
      <c r="E38" s="13"/>
      <c r="F38" s="13"/>
      <c r="G38" s="13"/>
      <c r="H38" s="13"/>
      <c r="I38" s="13"/>
      <c r="J38" s="13"/>
      <c r="K38" s="13"/>
      <c r="X38" s="13"/>
    </row>
    <row r="39" spans="2:24">
      <c r="B39">
        <v>0.5</v>
      </c>
      <c r="C39" t="s">
        <v>45</v>
      </c>
      <c r="D39" s="4">
        <f>SUM(E39:P39)*B39</f>
        <v>64.064999999999998</v>
      </c>
      <c r="E39" s="13">
        <v>128.13</v>
      </c>
      <c r="F39" s="13"/>
      <c r="G39" s="13"/>
      <c r="H39" s="13"/>
      <c r="I39" s="13"/>
      <c r="J39" s="13"/>
      <c r="K39" s="13"/>
      <c r="X39" s="13"/>
    </row>
    <row r="40" spans="2:24">
      <c r="C40" t="s">
        <v>46</v>
      </c>
      <c r="D40" s="4">
        <f t="shared" si="3"/>
        <v>0</v>
      </c>
      <c r="E40" s="13"/>
      <c r="F40" s="13"/>
      <c r="G40" s="13"/>
      <c r="H40" s="13"/>
      <c r="I40" s="13"/>
      <c r="J40" s="13"/>
      <c r="K40" s="13"/>
      <c r="X40" s="13"/>
    </row>
    <row r="41" spans="2:24">
      <c r="D41" s="4">
        <f t="shared" si="3"/>
        <v>0</v>
      </c>
      <c r="E41" s="13"/>
      <c r="F41" s="13"/>
      <c r="G41" s="13"/>
      <c r="H41" s="13"/>
      <c r="I41" s="13"/>
      <c r="J41" s="13"/>
      <c r="K41" s="13"/>
      <c r="X41" s="13"/>
    </row>
    <row r="42" spans="2:24">
      <c r="E42" s="13"/>
      <c r="F42" s="13"/>
      <c r="G42" s="13"/>
      <c r="H42" s="13"/>
      <c r="I42" s="13"/>
      <c r="J42" s="13"/>
      <c r="K42" s="13"/>
      <c r="X42" s="13"/>
    </row>
    <row r="43" spans="2:24">
      <c r="E43" s="13"/>
      <c r="F43" s="13"/>
      <c r="G43" s="13"/>
      <c r="H43" s="13"/>
      <c r="I43" s="13"/>
      <c r="J43" s="13"/>
      <c r="K43" s="13"/>
      <c r="X43" s="13"/>
    </row>
    <row r="44" spans="2:24">
      <c r="C44" t="s">
        <v>47</v>
      </c>
      <c r="D44">
        <v>750</v>
      </c>
    </row>
    <row r="45" spans="2:24">
      <c r="C45" t="s">
        <v>48</v>
      </c>
    </row>
    <row r="46" spans="2:24">
      <c r="C46" t="s">
        <v>49</v>
      </c>
      <c r="D46">
        <v>154.34</v>
      </c>
    </row>
    <row r="47" spans="2:24">
      <c r="C47" t="s">
        <v>50</v>
      </c>
    </row>
    <row r="48" spans="2:24">
      <c r="C48" t="s">
        <v>51</v>
      </c>
    </row>
    <row r="57" spans="3:4">
      <c r="C57" t="s">
        <v>52</v>
      </c>
      <c r="D57">
        <v>210.99</v>
      </c>
    </row>
    <row r="58" spans="3:4">
      <c r="C58" t="s">
        <v>53</v>
      </c>
      <c r="D58">
        <v>23.75</v>
      </c>
    </row>
  </sheetData>
  <pageMargins left="0.7" right="0.7" top="0.75" bottom="0.75" header="0.3" footer="0.3"/>
  <pageSetup fitToHeight="0"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1435B-C34A-4653-AC39-C5C7E9008089}">
  <dimension ref="E4:U30"/>
  <sheetViews>
    <sheetView workbookViewId="0">
      <selection activeCell="M29" sqref="M29"/>
    </sheetView>
  </sheetViews>
  <sheetFormatPr defaultRowHeight="15"/>
  <cols>
    <col min="5" max="5" width="11.28515625" bestFit="1" customWidth="1"/>
    <col min="6" max="6" width="9.7109375" bestFit="1" customWidth="1"/>
    <col min="7" max="7" width="18.85546875" bestFit="1" customWidth="1"/>
    <col min="8" max="8" width="18" bestFit="1" customWidth="1"/>
    <col min="9" max="9" width="10.5703125" style="6" bestFit="1" customWidth="1"/>
    <col min="10" max="10" width="10.5703125" style="3" bestFit="1" customWidth="1"/>
    <col min="13" max="13" width="10.85546875" bestFit="1" customWidth="1"/>
  </cols>
  <sheetData>
    <row r="4" spans="7:12">
      <c r="G4" t="s">
        <v>19</v>
      </c>
      <c r="I4" s="6">
        <f>SUM(I13:I20)</f>
        <v>20</v>
      </c>
      <c r="J4" s="5"/>
      <c r="L4" s="4"/>
    </row>
    <row r="5" spans="7:12">
      <c r="G5" t="s">
        <v>20</v>
      </c>
      <c r="I5" s="2"/>
      <c r="J5" s="5">
        <f>SUM(J13:J23)</f>
        <v>591.98</v>
      </c>
      <c r="L5" s="5"/>
    </row>
    <row r="6" spans="7:12">
      <c r="I6" s="2"/>
      <c r="J6" s="5"/>
      <c r="L6" s="5"/>
    </row>
    <row r="7" spans="7:12">
      <c r="G7" t="s">
        <v>21</v>
      </c>
      <c r="I7" s="5">
        <f>I4-J5</f>
        <v>-571.98</v>
      </c>
      <c r="L7" s="5"/>
    </row>
    <row r="13" spans="7:12">
      <c r="G13" t="s">
        <v>54</v>
      </c>
      <c r="I13" s="6">
        <v>20</v>
      </c>
    </row>
    <row r="14" spans="7:12">
      <c r="G14" t="s">
        <v>55</v>
      </c>
      <c r="J14" s="5">
        <v>5</v>
      </c>
    </row>
    <row r="15" spans="7:12">
      <c r="G15" t="s">
        <v>56</v>
      </c>
    </row>
    <row r="16" spans="7:12">
      <c r="G16" t="s">
        <v>57</v>
      </c>
      <c r="J16" s="5"/>
    </row>
    <row r="17" spans="5:21">
      <c r="G17" t="s">
        <v>58</v>
      </c>
    </row>
    <row r="18" spans="5:21">
      <c r="G18" t="s">
        <v>59</v>
      </c>
      <c r="J18" s="5">
        <v>7</v>
      </c>
    </row>
    <row r="21" spans="5:21">
      <c r="G21" s="8" t="s">
        <v>60</v>
      </c>
      <c r="H21" s="8" t="s">
        <v>61</v>
      </c>
      <c r="I21" s="7"/>
      <c r="J21" s="10"/>
      <c r="K21" s="10"/>
      <c r="L21" s="8" t="s">
        <v>24</v>
      </c>
      <c r="M21" s="8" t="s">
        <v>62</v>
      </c>
      <c r="N21" s="8" t="s">
        <v>63</v>
      </c>
      <c r="O21" s="8" t="s">
        <v>64</v>
      </c>
      <c r="P21" s="8" t="s">
        <v>65</v>
      </c>
      <c r="Q21" s="8" t="s">
        <v>66</v>
      </c>
      <c r="R21" s="8" t="s">
        <v>67</v>
      </c>
      <c r="S21" s="8"/>
      <c r="T21" s="8" t="s">
        <v>68</v>
      </c>
      <c r="U21" s="8" t="s">
        <v>69</v>
      </c>
    </row>
    <row r="22" spans="5:21">
      <c r="E22" t="s">
        <v>70</v>
      </c>
      <c r="F22" s="1">
        <v>42374</v>
      </c>
      <c r="G22" t="s">
        <v>71</v>
      </c>
      <c r="H22" t="s">
        <v>72</v>
      </c>
      <c r="J22" s="5">
        <v>579.98</v>
      </c>
      <c r="O22">
        <v>579.98</v>
      </c>
    </row>
    <row r="26" spans="5:21">
      <c r="F26" s="1"/>
    </row>
    <row r="29" spans="5:21">
      <c r="F29" s="1">
        <v>42381</v>
      </c>
      <c r="G29" t="s">
        <v>73</v>
      </c>
      <c r="H29" t="s">
        <v>74</v>
      </c>
      <c r="J29" s="3">
        <v>233.33</v>
      </c>
      <c r="T29">
        <v>233.33</v>
      </c>
    </row>
    <row r="30" spans="5:21">
      <c r="F30" s="1"/>
      <c r="I30" s="2"/>
    </row>
  </sheetData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C11BF-8999-4CA3-AC7C-4A19059CC818}">
  <dimension ref="E4:Q30"/>
  <sheetViews>
    <sheetView workbookViewId="0">
      <selection activeCell="H32" sqref="H32"/>
    </sheetView>
  </sheetViews>
  <sheetFormatPr defaultRowHeight="15"/>
  <cols>
    <col min="5" max="5" width="11.28515625" bestFit="1" customWidth="1"/>
    <col min="6" max="6" width="9.7109375" bestFit="1" customWidth="1"/>
    <col min="7" max="7" width="18.85546875" bestFit="1" customWidth="1"/>
    <col min="8" max="8" width="18" bestFit="1" customWidth="1"/>
    <col min="9" max="9" width="10.5703125" style="6" bestFit="1" customWidth="1"/>
    <col min="10" max="10" width="10.5703125" style="3" bestFit="1" customWidth="1"/>
    <col min="13" max="13" width="10.85546875" bestFit="1" customWidth="1"/>
  </cols>
  <sheetData>
    <row r="4" spans="7:12">
      <c r="G4" t="s">
        <v>19</v>
      </c>
      <c r="I4" s="6">
        <f>SUM(I12:I18)</f>
        <v>1300</v>
      </c>
      <c r="J4" s="5"/>
      <c r="L4" s="4"/>
    </row>
    <row r="5" spans="7:12">
      <c r="G5" t="s">
        <v>20</v>
      </c>
      <c r="I5" s="2"/>
      <c r="J5" s="5">
        <f>SUM(J12:J23)</f>
        <v>1236.98</v>
      </c>
      <c r="L5" s="5"/>
    </row>
    <row r="6" spans="7:12">
      <c r="I6" s="2"/>
      <c r="J6" s="5"/>
      <c r="L6" s="5"/>
    </row>
    <row r="7" spans="7:12">
      <c r="G7" t="s">
        <v>21</v>
      </c>
      <c r="I7" s="6">
        <f>I4-J5</f>
        <v>63.019999999999982</v>
      </c>
      <c r="L7" s="5"/>
    </row>
    <row r="12" spans="7:12">
      <c r="G12" t="s">
        <v>75</v>
      </c>
      <c r="I12" s="6">
        <v>1300</v>
      </c>
    </row>
    <row r="13" spans="7:12">
      <c r="G13" t="s">
        <v>54</v>
      </c>
    </row>
    <row r="14" spans="7:12">
      <c r="G14" t="s">
        <v>55</v>
      </c>
      <c r="J14" s="5">
        <v>5</v>
      </c>
    </row>
    <row r="15" spans="7:12">
      <c r="G15" t="s">
        <v>56</v>
      </c>
    </row>
    <row r="16" spans="7:12">
      <c r="G16" t="s">
        <v>57</v>
      </c>
      <c r="J16" s="5"/>
    </row>
    <row r="17" spans="5:17">
      <c r="G17" t="s">
        <v>58</v>
      </c>
    </row>
    <row r="18" spans="5:17">
      <c r="G18" t="s">
        <v>59</v>
      </c>
      <c r="J18" s="5">
        <v>7</v>
      </c>
    </row>
    <row r="21" spans="5:17">
      <c r="G21" t="s">
        <v>60</v>
      </c>
      <c r="H21" t="s">
        <v>61</v>
      </c>
      <c r="K21" t="s">
        <v>64</v>
      </c>
      <c r="M21" t="s">
        <v>65</v>
      </c>
      <c r="O21" t="s">
        <v>67</v>
      </c>
      <c r="Q21" t="s">
        <v>68</v>
      </c>
    </row>
    <row r="22" spans="5:17">
      <c r="E22" t="s">
        <v>76</v>
      </c>
      <c r="F22" s="1">
        <v>42401</v>
      </c>
      <c r="G22" t="s">
        <v>77</v>
      </c>
      <c r="H22" t="s">
        <v>78</v>
      </c>
      <c r="J22" s="5">
        <v>645</v>
      </c>
      <c r="K22" s="3"/>
      <c r="L22" s="3"/>
      <c r="M22" s="3"/>
      <c r="N22" s="3"/>
      <c r="O22" s="3"/>
      <c r="P22" s="3"/>
      <c r="Q22" s="5">
        <f>J22</f>
        <v>645</v>
      </c>
    </row>
    <row r="23" spans="5:17">
      <c r="E23" t="s">
        <v>79</v>
      </c>
      <c r="F23" s="1">
        <v>42405</v>
      </c>
      <c r="G23" t="s">
        <v>71</v>
      </c>
      <c r="H23" t="s">
        <v>80</v>
      </c>
      <c r="J23" s="5">
        <v>579.98</v>
      </c>
      <c r="K23" s="3"/>
      <c r="L23" s="3"/>
      <c r="M23" s="5">
        <f>J23</f>
        <v>579.98</v>
      </c>
      <c r="N23" s="3"/>
      <c r="O23" s="3"/>
      <c r="P23" s="3"/>
      <c r="Q23" s="3"/>
    </row>
    <row r="26" spans="5:17">
      <c r="F26" s="1"/>
    </row>
    <row r="30" spans="5:17">
      <c r="F30" s="1"/>
      <c r="I3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A9A77-3BAE-4761-A0CB-3BC03D883263}">
  <dimension ref="E4:S36"/>
  <sheetViews>
    <sheetView workbookViewId="0">
      <selection activeCell="H31" sqref="H31"/>
    </sheetView>
  </sheetViews>
  <sheetFormatPr defaultRowHeight="15"/>
  <cols>
    <col min="5" max="5" width="11.28515625" bestFit="1" customWidth="1"/>
    <col min="6" max="6" width="9.7109375" bestFit="1" customWidth="1"/>
    <col min="7" max="7" width="18.85546875" bestFit="1" customWidth="1"/>
    <col min="8" max="8" width="18" bestFit="1" customWidth="1"/>
    <col min="9" max="10" width="10.5703125" style="6" bestFit="1" customWidth="1"/>
    <col min="11" max="11" width="10.5703125" style="9" bestFit="1" customWidth="1"/>
    <col min="12" max="12" width="10.5703125" style="3" bestFit="1" customWidth="1"/>
    <col min="14" max="14" width="10.85546875" bestFit="1" customWidth="1"/>
    <col min="19" max="19" width="12.28515625" bestFit="1" customWidth="1"/>
  </cols>
  <sheetData>
    <row r="4" spans="7:13">
      <c r="G4" t="s">
        <v>19</v>
      </c>
      <c r="J4" s="6">
        <f>SUM(J12:J24)</f>
        <v>2800</v>
      </c>
      <c r="M4" s="4"/>
    </row>
    <row r="5" spans="7:13">
      <c r="G5" t="s">
        <v>20</v>
      </c>
      <c r="I5" s="2"/>
      <c r="J5" s="2"/>
      <c r="L5" s="5">
        <f>S30</f>
        <v>1600</v>
      </c>
      <c r="M5" s="5"/>
    </row>
    <row r="6" spans="7:13">
      <c r="I6" s="2"/>
      <c r="J6" s="2"/>
      <c r="M6" s="5"/>
    </row>
    <row r="7" spans="7:13">
      <c r="G7" t="s">
        <v>21</v>
      </c>
      <c r="J7" s="6">
        <f>J4-L5</f>
        <v>1200</v>
      </c>
      <c r="M7" s="5"/>
    </row>
    <row r="12" spans="7:13">
      <c r="G12" t="s">
        <v>75</v>
      </c>
      <c r="J12" s="6">
        <f>I13+I14</f>
        <v>2800</v>
      </c>
    </row>
    <row r="13" spans="7:13">
      <c r="H13" s="1">
        <v>42431</v>
      </c>
      <c r="I13" s="6">
        <v>1000</v>
      </c>
    </row>
    <row r="14" spans="7:13">
      <c r="H14" s="1">
        <v>42452</v>
      </c>
      <c r="I14" s="6">
        <v>1800</v>
      </c>
    </row>
    <row r="15" spans="7:13">
      <c r="G15" t="s">
        <v>54</v>
      </c>
    </row>
    <row r="16" spans="7:13">
      <c r="G16" t="s">
        <v>55</v>
      </c>
      <c r="L16" s="5">
        <f>K17+K18</f>
        <v>5.49</v>
      </c>
    </row>
    <row r="17" spans="5:19">
      <c r="H17" s="1">
        <v>42431</v>
      </c>
      <c r="K17" s="9">
        <v>5</v>
      </c>
    </row>
    <row r="18" spans="5:19">
      <c r="H18" s="1">
        <v>42443</v>
      </c>
      <c r="K18" s="9">
        <v>0.49</v>
      </c>
    </row>
    <row r="19" spans="5:19">
      <c r="G19" t="s">
        <v>56</v>
      </c>
    </row>
    <row r="20" spans="5:19">
      <c r="H20" s="1">
        <v>42443</v>
      </c>
      <c r="I20" s="6">
        <v>0.49</v>
      </c>
    </row>
    <row r="21" spans="5:19">
      <c r="H21" s="1">
        <v>42453</v>
      </c>
      <c r="I21" s="6">
        <v>30</v>
      </c>
    </row>
    <row r="22" spans="5:19">
      <c r="G22" t="s">
        <v>57</v>
      </c>
    </row>
    <row r="23" spans="5:19">
      <c r="G23" t="s">
        <v>58</v>
      </c>
    </row>
    <row r="24" spans="5:19">
      <c r="G24" t="s">
        <v>59</v>
      </c>
    </row>
    <row r="25" spans="5:19">
      <c r="H25" s="1">
        <v>42460</v>
      </c>
      <c r="K25" s="9">
        <v>7</v>
      </c>
    </row>
    <row r="27" spans="5:19">
      <c r="G27" t="s">
        <v>60</v>
      </c>
      <c r="H27" t="s">
        <v>61</v>
      </c>
      <c r="M27" t="s">
        <v>64</v>
      </c>
      <c r="N27" t="s">
        <v>65</v>
      </c>
      <c r="P27" t="s">
        <v>67</v>
      </c>
      <c r="R27" t="s">
        <v>68</v>
      </c>
      <c r="S27" t="s">
        <v>69</v>
      </c>
    </row>
    <row r="28" spans="5:19">
      <c r="E28" t="s">
        <v>81</v>
      </c>
      <c r="F28" s="1">
        <v>42436</v>
      </c>
      <c r="G28" t="s">
        <v>71</v>
      </c>
      <c r="H28" t="s">
        <v>82</v>
      </c>
      <c r="K28" s="9">
        <v>579.98</v>
      </c>
      <c r="M28" s="3"/>
      <c r="N28" s="9">
        <v>579.98</v>
      </c>
      <c r="O28" s="3"/>
      <c r="P28" s="3"/>
      <c r="Q28" s="3"/>
      <c r="R28" s="5"/>
    </row>
    <row r="29" spans="5:19">
      <c r="E29" t="s">
        <v>83</v>
      </c>
      <c r="F29" s="1">
        <v>42453</v>
      </c>
      <c r="G29" t="s">
        <v>71</v>
      </c>
      <c r="H29" t="s">
        <v>84</v>
      </c>
      <c r="K29" s="9">
        <v>579.98</v>
      </c>
      <c r="M29" s="3"/>
      <c r="N29" s="5">
        <v>579.98</v>
      </c>
      <c r="O29" s="3"/>
      <c r="P29" s="3"/>
      <c r="Q29" s="3"/>
      <c r="R29" s="3"/>
    </row>
    <row r="30" spans="5:19">
      <c r="E30" t="s">
        <v>85</v>
      </c>
      <c r="F30" s="1">
        <v>42454</v>
      </c>
      <c r="G30" t="s">
        <v>86</v>
      </c>
      <c r="H30" t="s">
        <v>87</v>
      </c>
      <c r="K30" s="9">
        <v>1600</v>
      </c>
      <c r="S30" s="4">
        <f>K30</f>
        <v>1600</v>
      </c>
    </row>
    <row r="32" spans="5:19">
      <c r="F32" s="1"/>
    </row>
    <row r="36" spans="6:10">
      <c r="F36" s="1"/>
      <c r="I36" s="2"/>
      <c r="J36" s="2"/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5FCEF-C802-43D4-8503-035A36B37D2C}">
  <dimension ref="E4:S37"/>
  <sheetViews>
    <sheetView workbookViewId="0">
      <selection activeCell="U17" sqref="U17"/>
    </sheetView>
  </sheetViews>
  <sheetFormatPr defaultRowHeight="15"/>
  <cols>
    <col min="5" max="5" width="11.28515625" bestFit="1" customWidth="1"/>
    <col min="6" max="6" width="9.7109375" bestFit="1" customWidth="1"/>
    <col min="7" max="7" width="23.5703125" bestFit="1" customWidth="1"/>
    <col min="8" max="8" width="20" bestFit="1" customWidth="1"/>
    <col min="9" max="10" width="10.5703125" style="6" bestFit="1" customWidth="1"/>
    <col min="11" max="11" width="10.5703125" style="9" bestFit="1" customWidth="1"/>
    <col min="12" max="12" width="10.5703125" style="3" bestFit="1" customWidth="1"/>
    <col min="14" max="14" width="10.85546875" bestFit="1" customWidth="1"/>
    <col min="19" max="19" width="12.28515625" bestFit="1" customWidth="1"/>
  </cols>
  <sheetData>
    <row r="4" spans="6:13">
      <c r="G4" t="s">
        <v>19</v>
      </c>
      <c r="J4" s="6">
        <f>J12</f>
        <v>6100</v>
      </c>
      <c r="M4" s="4"/>
    </row>
    <row r="5" spans="6:13">
      <c r="G5" t="s">
        <v>20</v>
      </c>
      <c r="I5" s="2"/>
      <c r="J5" s="2"/>
      <c r="K5" s="9">
        <f>SUM(K18:K32)</f>
        <v>5211.5599999999995</v>
      </c>
      <c r="L5" s="5"/>
      <c r="M5" s="5"/>
    </row>
    <row r="6" spans="6:13">
      <c r="I6" s="2"/>
      <c r="J6" s="2"/>
      <c r="M6" s="5"/>
    </row>
    <row r="7" spans="6:13">
      <c r="G7" t="s">
        <v>21</v>
      </c>
      <c r="J7" s="6">
        <f>J4-K5</f>
        <v>888.44000000000051</v>
      </c>
      <c r="M7" s="5"/>
    </row>
    <row r="12" spans="6:13">
      <c r="G12" t="s">
        <v>75</v>
      </c>
      <c r="J12" s="6">
        <f>SUM(I13:I15)</f>
        <v>6100</v>
      </c>
    </row>
    <row r="13" spans="6:13">
      <c r="F13" s="1">
        <v>42461</v>
      </c>
      <c r="I13" s="6">
        <v>2400</v>
      </c>
    </row>
    <row r="14" spans="6:13">
      <c r="F14" s="1">
        <v>42466</v>
      </c>
      <c r="I14" s="6">
        <v>2000</v>
      </c>
    </row>
    <row r="15" spans="6:13">
      <c r="F15" s="1">
        <v>42479</v>
      </c>
      <c r="I15" s="6">
        <v>1700</v>
      </c>
    </row>
    <row r="16" spans="6:13">
      <c r="G16" t="s">
        <v>54</v>
      </c>
    </row>
    <row r="17" spans="5:19">
      <c r="G17" t="s">
        <v>55</v>
      </c>
      <c r="L17" s="5"/>
    </row>
    <row r="18" spans="5:19">
      <c r="F18" s="1">
        <v>42479</v>
      </c>
      <c r="K18" s="9">
        <v>10</v>
      </c>
    </row>
    <row r="19" spans="5:19">
      <c r="H19" s="1"/>
    </row>
    <row r="20" spans="5:19">
      <c r="G20" t="s">
        <v>56</v>
      </c>
    </row>
    <row r="21" spans="5:19">
      <c r="F21" s="1">
        <v>42443</v>
      </c>
    </row>
    <row r="22" spans="5:19">
      <c r="F22" s="1">
        <v>42453</v>
      </c>
    </row>
    <row r="23" spans="5:19">
      <c r="G23" t="s">
        <v>57</v>
      </c>
    </row>
    <row r="24" spans="5:19">
      <c r="G24" t="s">
        <v>58</v>
      </c>
    </row>
    <row r="25" spans="5:19">
      <c r="G25" t="s">
        <v>59</v>
      </c>
    </row>
    <row r="26" spans="5:19">
      <c r="F26" s="1">
        <v>42490</v>
      </c>
      <c r="K26" s="9">
        <v>7</v>
      </c>
    </row>
    <row r="28" spans="5:19">
      <c r="G28" s="8" t="s">
        <v>60</v>
      </c>
      <c r="H28" s="8" t="s">
        <v>61</v>
      </c>
      <c r="I28" s="7"/>
      <c r="J28" s="7"/>
      <c r="K28" s="10"/>
      <c r="L28" s="8"/>
      <c r="M28" s="8" t="s">
        <v>64</v>
      </c>
      <c r="N28" s="8" t="s">
        <v>65</v>
      </c>
      <c r="O28" s="8"/>
      <c r="P28" s="8" t="s">
        <v>67</v>
      </c>
      <c r="Q28" s="8"/>
      <c r="R28" s="8" t="s">
        <v>68</v>
      </c>
      <c r="S28" s="8" t="s">
        <v>69</v>
      </c>
    </row>
    <row r="29" spans="5:19">
      <c r="E29" t="s">
        <v>88</v>
      </c>
      <c r="F29" s="1">
        <v>42464</v>
      </c>
      <c r="G29" t="s">
        <v>86</v>
      </c>
      <c r="H29" t="s">
        <v>89</v>
      </c>
      <c r="K29" s="9">
        <v>1592</v>
      </c>
      <c r="M29" s="3"/>
      <c r="N29" s="9"/>
      <c r="O29" s="3"/>
      <c r="P29" s="3"/>
      <c r="Q29" s="3"/>
      <c r="R29" s="5"/>
      <c r="S29" s="5">
        <f>K29</f>
        <v>1592</v>
      </c>
    </row>
    <row r="30" spans="5:19">
      <c r="E30" t="s">
        <v>90</v>
      </c>
      <c r="F30" s="1">
        <v>42466</v>
      </c>
      <c r="G30" t="s">
        <v>91</v>
      </c>
      <c r="H30" t="s">
        <v>92</v>
      </c>
      <c r="K30" s="9">
        <v>2600</v>
      </c>
      <c r="M30" s="3"/>
      <c r="N30" s="5"/>
      <c r="O30" s="3"/>
      <c r="P30" s="3"/>
      <c r="Q30" s="3"/>
      <c r="R30" s="3"/>
      <c r="S30" s="5">
        <f>K30</f>
        <v>2600</v>
      </c>
    </row>
    <row r="31" spans="5:19">
      <c r="E31" t="s">
        <v>93</v>
      </c>
      <c r="F31" s="1">
        <v>42479</v>
      </c>
      <c r="G31" t="s">
        <v>94</v>
      </c>
      <c r="H31" t="s">
        <v>95</v>
      </c>
      <c r="K31" s="9">
        <v>422.58</v>
      </c>
      <c r="M31" s="3"/>
      <c r="N31" s="3"/>
      <c r="O31" s="3"/>
      <c r="P31" s="3"/>
      <c r="Q31" s="3"/>
      <c r="R31" s="3"/>
      <c r="S31" s="5">
        <f>K31</f>
        <v>422.58</v>
      </c>
    </row>
    <row r="32" spans="5:19">
      <c r="E32" t="s">
        <v>96</v>
      </c>
      <c r="F32" s="1">
        <v>42485</v>
      </c>
      <c r="G32" t="s">
        <v>71</v>
      </c>
      <c r="H32" t="s">
        <v>97</v>
      </c>
      <c r="K32" s="9">
        <v>579.98</v>
      </c>
      <c r="M32" s="3"/>
      <c r="N32" s="5">
        <f>K32</f>
        <v>579.98</v>
      </c>
      <c r="O32" s="3"/>
      <c r="P32" s="3"/>
      <c r="Q32" s="3"/>
      <c r="R32" s="3"/>
      <c r="S32" s="3"/>
    </row>
    <row r="33" spans="6:10">
      <c r="F33" s="1"/>
    </row>
    <row r="37" spans="6:10">
      <c r="F37" s="1"/>
      <c r="I37" s="2"/>
      <c r="J37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6BBAE-DB75-441D-AC0A-C8891A2091F7}">
  <dimension ref="E4:S42"/>
  <sheetViews>
    <sheetView workbookViewId="0">
      <selection activeCell="I13" sqref="I13"/>
    </sheetView>
  </sheetViews>
  <sheetFormatPr defaultRowHeight="15"/>
  <cols>
    <col min="5" max="5" width="11.28515625" bestFit="1" customWidth="1"/>
    <col min="6" max="6" width="9.7109375" bestFit="1" customWidth="1"/>
    <col min="7" max="7" width="18.85546875" bestFit="1" customWidth="1"/>
    <col min="8" max="8" width="20" bestFit="1" customWidth="1"/>
    <col min="9" max="9" width="10.5703125" style="6" bestFit="1" customWidth="1"/>
    <col min="10" max="10" width="11.28515625" style="6" bestFit="1" customWidth="1"/>
    <col min="11" max="11" width="10.5703125" style="9" bestFit="1" customWidth="1"/>
    <col min="12" max="12" width="10.5703125" style="3" bestFit="1" customWidth="1"/>
    <col min="14" max="14" width="10.85546875" bestFit="1" customWidth="1"/>
    <col min="19" max="19" width="12.28515625" bestFit="1" customWidth="1"/>
  </cols>
  <sheetData>
    <row r="4" spans="6:13">
      <c r="G4" t="s">
        <v>19</v>
      </c>
      <c r="J4" s="6">
        <f>J13</f>
        <v>233.33</v>
      </c>
      <c r="M4" s="4"/>
    </row>
    <row r="5" spans="6:13">
      <c r="G5" t="s">
        <v>20</v>
      </c>
      <c r="I5" s="2"/>
      <c r="J5" s="2"/>
      <c r="L5" s="5">
        <f>L17+L25+L32</f>
        <v>1983.63</v>
      </c>
      <c r="M5" s="5"/>
    </row>
    <row r="6" spans="6:13">
      <c r="I6" s="2"/>
      <c r="J6" s="2"/>
      <c r="M6" s="5"/>
    </row>
    <row r="7" spans="6:13">
      <c r="G7" t="s">
        <v>21</v>
      </c>
      <c r="J7" s="5">
        <f>J4-L5</f>
        <v>-1750.3000000000002</v>
      </c>
      <c r="M7" s="5"/>
    </row>
    <row r="12" spans="6:13">
      <c r="G12" t="s">
        <v>75</v>
      </c>
    </row>
    <row r="13" spans="6:13">
      <c r="F13" s="1">
        <v>42499</v>
      </c>
      <c r="H13" s="1" t="s">
        <v>98</v>
      </c>
      <c r="J13" s="6">
        <v>233.33</v>
      </c>
    </row>
    <row r="14" spans="6:13">
      <c r="H14" s="1"/>
    </row>
    <row r="15" spans="6:13">
      <c r="H15" s="1"/>
    </row>
    <row r="16" spans="6:13">
      <c r="G16" t="s">
        <v>54</v>
      </c>
    </row>
    <row r="17" spans="6:12">
      <c r="G17" t="s">
        <v>55</v>
      </c>
      <c r="L17" s="5">
        <f>K18+K19</f>
        <v>238</v>
      </c>
    </row>
    <row r="18" spans="6:12">
      <c r="F18" s="1">
        <v>42506</v>
      </c>
      <c r="G18" t="s">
        <v>99</v>
      </c>
      <c r="H18" s="1"/>
      <c r="K18" s="9">
        <v>13</v>
      </c>
    </row>
    <row r="19" spans="6:12">
      <c r="F19" s="1">
        <v>42506</v>
      </c>
      <c r="G19" t="s">
        <v>100</v>
      </c>
      <c r="H19" s="1" t="s">
        <v>101</v>
      </c>
      <c r="K19" s="9">
        <v>225</v>
      </c>
    </row>
    <row r="20" spans="6:12">
      <c r="G20" t="s">
        <v>56</v>
      </c>
    </row>
    <row r="21" spans="6:12">
      <c r="H21" s="1"/>
    </row>
    <row r="22" spans="6:12">
      <c r="H22" s="1"/>
    </row>
    <row r="23" spans="6:12">
      <c r="G23" t="s">
        <v>57</v>
      </c>
    </row>
    <row r="24" spans="6:12">
      <c r="G24" t="s">
        <v>58</v>
      </c>
    </row>
    <row r="25" spans="6:12">
      <c r="G25" t="s">
        <v>59</v>
      </c>
      <c r="L25" s="5">
        <f>SUM(K26:K30)</f>
        <v>84.2</v>
      </c>
    </row>
    <row r="26" spans="6:12">
      <c r="F26" s="1">
        <v>42510</v>
      </c>
      <c r="K26" s="9">
        <v>2.2000000000000002</v>
      </c>
    </row>
    <row r="27" spans="6:12">
      <c r="F27" s="1">
        <v>42510</v>
      </c>
      <c r="K27" s="9">
        <v>35</v>
      </c>
    </row>
    <row r="28" spans="6:12">
      <c r="F28" s="1">
        <v>42515</v>
      </c>
      <c r="K28" s="9">
        <v>35</v>
      </c>
    </row>
    <row r="29" spans="6:12">
      <c r="F29" s="1">
        <v>42517</v>
      </c>
      <c r="H29" s="1"/>
      <c r="K29" s="9">
        <v>5</v>
      </c>
    </row>
    <row r="30" spans="6:12">
      <c r="F30" s="1">
        <v>43982</v>
      </c>
      <c r="H30" s="1" t="s">
        <v>102</v>
      </c>
      <c r="K30" s="9">
        <v>7</v>
      </c>
    </row>
    <row r="31" spans="6:12">
      <c r="F31" s="1"/>
      <c r="H31" s="1"/>
    </row>
    <row r="32" spans="6:12">
      <c r="L32" s="5">
        <f>SUM(K34:K36)</f>
        <v>1661.43</v>
      </c>
    </row>
    <row r="33" spans="5:19">
      <c r="G33" s="8" t="s">
        <v>60</v>
      </c>
      <c r="H33" s="8" t="s">
        <v>61</v>
      </c>
      <c r="I33" s="7"/>
      <c r="J33" s="7"/>
      <c r="K33" s="10"/>
      <c r="L33" s="8"/>
      <c r="M33" s="8" t="s">
        <v>64</v>
      </c>
      <c r="N33" s="8" t="s">
        <v>65</v>
      </c>
      <c r="O33" s="8"/>
      <c r="P33" s="8" t="s">
        <v>67</v>
      </c>
      <c r="Q33" s="8"/>
      <c r="R33" s="8" t="s">
        <v>68</v>
      </c>
      <c r="S33" s="8" t="s">
        <v>69</v>
      </c>
    </row>
    <row r="34" spans="5:19">
      <c r="E34" t="s">
        <v>103</v>
      </c>
      <c r="F34" s="1"/>
      <c r="G34" t="s">
        <v>104</v>
      </c>
      <c r="H34" t="s">
        <v>105</v>
      </c>
      <c r="K34" s="9">
        <f>S34</f>
        <v>306.45</v>
      </c>
      <c r="M34" s="3"/>
      <c r="N34" s="9"/>
      <c r="O34" s="3"/>
      <c r="P34" s="3"/>
      <c r="Q34" s="3"/>
      <c r="R34" s="5"/>
      <c r="S34" s="5">
        <v>306.45</v>
      </c>
    </row>
    <row r="35" spans="5:19">
      <c r="E35" t="s">
        <v>106</v>
      </c>
      <c r="F35" s="1"/>
      <c r="G35" t="s">
        <v>71</v>
      </c>
      <c r="H35" t="s">
        <v>107</v>
      </c>
      <c r="K35" s="9">
        <f>N35</f>
        <v>579.98</v>
      </c>
      <c r="M35" s="3"/>
      <c r="N35" s="5">
        <v>579.98</v>
      </c>
      <c r="O35" s="3"/>
      <c r="P35" s="3"/>
      <c r="Q35" s="3"/>
      <c r="R35" s="3"/>
      <c r="S35" s="5">
        <f>K35</f>
        <v>579.98</v>
      </c>
    </row>
    <row r="36" spans="5:19">
      <c r="E36" t="s">
        <v>108</v>
      </c>
      <c r="F36" s="1"/>
      <c r="G36" t="s">
        <v>109</v>
      </c>
      <c r="H36" t="s">
        <v>110</v>
      </c>
      <c r="K36" s="9">
        <f>S36</f>
        <v>775</v>
      </c>
      <c r="M36" s="3"/>
      <c r="N36" s="3"/>
      <c r="O36" s="3"/>
      <c r="P36" s="3"/>
      <c r="Q36" s="3"/>
      <c r="R36" s="3"/>
      <c r="S36" s="5">
        <v>775</v>
      </c>
    </row>
    <row r="37" spans="5:19">
      <c r="F37" s="1"/>
      <c r="M37" s="3"/>
      <c r="N37" s="5"/>
      <c r="O37" s="3"/>
      <c r="P37" s="3"/>
      <c r="Q37" s="3"/>
      <c r="R37" s="3"/>
      <c r="S37" s="3"/>
    </row>
    <row r="38" spans="5:19">
      <c r="F38" s="1"/>
    </row>
    <row r="42" spans="5:19">
      <c r="F42" s="1"/>
      <c r="I42" s="2"/>
      <c r="J42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5AE9A-5353-460A-9D7B-04A00753FA16}">
  <dimension ref="E4:S43"/>
  <sheetViews>
    <sheetView topLeftCell="A7" workbookViewId="0">
      <selection activeCell="J7" sqref="J7"/>
    </sheetView>
  </sheetViews>
  <sheetFormatPr defaultRowHeight="15"/>
  <cols>
    <col min="5" max="5" width="11.28515625" bestFit="1" customWidth="1"/>
    <col min="6" max="6" width="9.7109375" bestFit="1" customWidth="1"/>
    <col min="7" max="7" width="18.85546875" bestFit="1" customWidth="1"/>
    <col min="8" max="8" width="20" bestFit="1" customWidth="1"/>
    <col min="9" max="9" width="10.5703125" style="6" bestFit="1" customWidth="1"/>
    <col min="10" max="10" width="11.28515625" style="6" bestFit="1" customWidth="1"/>
    <col min="11" max="11" width="10.5703125" style="9" bestFit="1" customWidth="1"/>
    <col min="12" max="12" width="10.5703125" style="3" bestFit="1" customWidth="1"/>
    <col min="14" max="14" width="10.85546875" bestFit="1" customWidth="1"/>
    <col min="19" max="19" width="12.28515625" bestFit="1" customWidth="1"/>
  </cols>
  <sheetData>
    <row r="4" spans="6:13">
      <c r="G4" s="11" t="s">
        <v>19</v>
      </c>
      <c r="J4" s="6">
        <f>SUM(J12:J26)</f>
        <v>2203.19</v>
      </c>
      <c r="M4" s="4"/>
    </row>
    <row r="5" spans="6:13">
      <c r="G5" s="11" t="s">
        <v>20</v>
      </c>
      <c r="I5" s="2"/>
      <c r="J5" s="2"/>
      <c r="L5" s="5">
        <f>SUM(L12:L33)</f>
        <v>1729.8899999999999</v>
      </c>
      <c r="M5" s="5"/>
    </row>
    <row r="6" spans="6:13">
      <c r="G6" s="11"/>
      <c r="I6" s="2"/>
      <c r="J6" s="2"/>
      <c r="M6" s="5"/>
    </row>
    <row r="7" spans="6:13">
      <c r="G7" s="11" t="s">
        <v>21</v>
      </c>
      <c r="J7" s="6">
        <f>J4-L5</f>
        <v>473.30000000000018</v>
      </c>
      <c r="M7" s="5"/>
    </row>
    <row r="12" spans="6:13">
      <c r="G12" s="11" t="s">
        <v>75</v>
      </c>
      <c r="J12" s="6">
        <f>SUM(I13:I15)</f>
        <v>1776</v>
      </c>
    </row>
    <row r="13" spans="6:13">
      <c r="F13" s="1">
        <v>42536</v>
      </c>
      <c r="H13" s="1" t="s">
        <v>98</v>
      </c>
      <c r="I13" s="6">
        <v>1000</v>
      </c>
    </row>
    <row r="14" spans="6:13">
      <c r="F14" s="1">
        <v>42538</v>
      </c>
      <c r="H14" s="1" t="s">
        <v>98</v>
      </c>
      <c r="I14" s="6">
        <v>500</v>
      </c>
    </row>
    <row r="15" spans="6:13">
      <c r="F15" s="1">
        <v>42550</v>
      </c>
      <c r="H15" s="1" t="s">
        <v>98</v>
      </c>
      <c r="I15" s="6">
        <v>276</v>
      </c>
    </row>
    <row r="16" spans="6:13">
      <c r="F16" s="1"/>
    </row>
    <row r="17" spans="6:12">
      <c r="G17" s="11" t="s">
        <v>54</v>
      </c>
    </row>
    <row r="18" spans="6:12">
      <c r="G18" s="11" t="s">
        <v>55</v>
      </c>
      <c r="L18" s="5">
        <f>K19+K20</f>
        <v>949.91</v>
      </c>
    </row>
    <row r="19" spans="6:12">
      <c r="F19" s="1">
        <v>42523</v>
      </c>
      <c r="G19" s="1" t="s">
        <v>99</v>
      </c>
      <c r="H19" s="1" t="s">
        <v>99</v>
      </c>
      <c r="K19" s="9">
        <v>19</v>
      </c>
    </row>
    <row r="20" spans="6:12">
      <c r="F20" s="1">
        <v>43997</v>
      </c>
      <c r="G20" t="s">
        <v>111</v>
      </c>
      <c r="H20" s="1" t="s">
        <v>112</v>
      </c>
      <c r="K20" s="9">
        <v>930.91</v>
      </c>
    </row>
    <row r="21" spans="6:12">
      <c r="G21" s="11" t="s">
        <v>56</v>
      </c>
      <c r="J21" s="6">
        <f>I22+I23</f>
        <v>140.19</v>
      </c>
    </row>
    <row r="22" spans="6:12">
      <c r="F22" s="1">
        <v>42551</v>
      </c>
      <c r="G22" s="12" t="s">
        <v>113</v>
      </c>
      <c r="H22" s="1"/>
      <c r="I22" s="6">
        <v>139.69999999999999</v>
      </c>
    </row>
    <row r="23" spans="6:12">
      <c r="F23" s="1">
        <v>42551</v>
      </c>
      <c r="G23" t="s">
        <v>113</v>
      </c>
      <c r="H23" s="1"/>
      <c r="I23" s="6">
        <v>0.49</v>
      </c>
    </row>
    <row r="24" spans="6:12">
      <c r="G24" s="11" t="s">
        <v>57</v>
      </c>
    </row>
    <row r="25" spans="6:12">
      <c r="G25" s="11" t="s">
        <v>58</v>
      </c>
    </row>
    <row r="26" spans="6:12">
      <c r="G26" s="11" t="s">
        <v>59</v>
      </c>
      <c r="J26" s="6">
        <f>I27</f>
        <v>287</v>
      </c>
      <c r="L26" s="5"/>
    </row>
    <row r="27" spans="6:12">
      <c r="F27" s="1"/>
      <c r="I27" s="6">
        <v>287</v>
      </c>
    </row>
    <row r="28" spans="6:12">
      <c r="F28" s="1"/>
    </row>
    <row r="29" spans="6:12">
      <c r="F29" s="1"/>
    </row>
    <row r="30" spans="6:12">
      <c r="F30" s="1"/>
      <c r="H30" s="1"/>
    </row>
    <row r="31" spans="6:12">
      <c r="F31" s="1"/>
      <c r="H31" s="1" t="s">
        <v>102</v>
      </c>
    </row>
    <row r="32" spans="6:12">
      <c r="F32" s="1"/>
      <c r="H32" s="1"/>
    </row>
    <row r="33" spans="5:19">
      <c r="L33" s="5">
        <f>SUM(K35:K38)</f>
        <v>779.98</v>
      </c>
    </row>
    <row r="34" spans="5:19">
      <c r="G34" s="8" t="s">
        <v>60</v>
      </c>
      <c r="H34" s="8" t="s">
        <v>61</v>
      </c>
      <c r="I34" s="7"/>
      <c r="J34" s="7"/>
      <c r="K34" s="10"/>
      <c r="L34" s="8"/>
      <c r="M34" s="8" t="s">
        <v>64</v>
      </c>
      <c r="N34" s="8" t="s">
        <v>65</v>
      </c>
      <c r="O34" s="8"/>
      <c r="P34" s="8" t="s">
        <v>67</v>
      </c>
      <c r="Q34" s="8"/>
      <c r="R34" s="8" t="s">
        <v>68</v>
      </c>
      <c r="S34" s="8" t="s">
        <v>69</v>
      </c>
    </row>
    <row r="35" spans="5:19">
      <c r="E35" t="s">
        <v>114</v>
      </c>
      <c r="F35" s="1"/>
      <c r="G35" t="s">
        <v>71</v>
      </c>
      <c r="H35" t="s">
        <v>115</v>
      </c>
      <c r="K35" s="9">
        <v>579.98</v>
      </c>
      <c r="M35" s="9"/>
      <c r="N35" s="9">
        <v>579.98</v>
      </c>
      <c r="O35" s="9"/>
      <c r="P35" s="9"/>
      <c r="Q35" s="9"/>
      <c r="R35" s="9"/>
      <c r="S35" s="9"/>
    </row>
    <row r="36" spans="5:19">
      <c r="E36" t="s">
        <v>116</v>
      </c>
      <c r="F36" s="1"/>
      <c r="G36" t="s">
        <v>77</v>
      </c>
      <c r="H36" t="s">
        <v>117</v>
      </c>
      <c r="K36" s="9">
        <v>25</v>
      </c>
      <c r="M36" s="9"/>
      <c r="N36" s="9"/>
      <c r="O36" s="9"/>
      <c r="P36" s="9"/>
      <c r="Q36" s="9"/>
      <c r="R36" s="9">
        <v>25</v>
      </c>
      <c r="S36" s="9"/>
    </row>
    <row r="37" spans="5:19">
      <c r="E37" t="s">
        <v>118</v>
      </c>
      <c r="F37" s="1"/>
      <c r="G37" t="s">
        <v>64</v>
      </c>
      <c r="K37" s="9">
        <v>75</v>
      </c>
      <c r="M37" s="9">
        <f>K37</f>
        <v>75</v>
      </c>
      <c r="N37" s="9"/>
      <c r="O37" s="9"/>
      <c r="P37" s="9"/>
      <c r="Q37" s="9"/>
      <c r="R37" s="9"/>
      <c r="S37" s="9"/>
    </row>
    <row r="38" spans="5:19">
      <c r="E38" t="s">
        <v>119</v>
      </c>
      <c r="F38" s="1"/>
      <c r="G38" t="s">
        <v>64</v>
      </c>
      <c r="K38" s="9">
        <v>100</v>
      </c>
      <c r="M38" s="9">
        <f>K38</f>
        <v>100</v>
      </c>
      <c r="N38" s="9"/>
      <c r="O38" s="9"/>
      <c r="P38" s="9"/>
      <c r="Q38" s="9"/>
      <c r="R38" s="9"/>
      <c r="S38" s="9"/>
    </row>
    <row r="39" spans="5:19">
      <c r="F39" s="1"/>
    </row>
    <row r="43" spans="5:19">
      <c r="F43" s="1"/>
      <c r="I43" s="2"/>
      <c r="J43" s="2"/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7670D-DF28-41EE-B16D-56D53F1B5901}">
  <dimension ref="E4:S49"/>
  <sheetViews>
    <sheetView topLeftCell="A16" workbookViewId="0">
      <selection activeCell="H52" sqref="H52"/>
    </sheetView>
  </sheetViews>
  <sheetFormatPr defaultRowHeight="15"/>
  <cols>
    <col min="5" max="5" width="11.28515625" bestFit="1" customWidth="1"/>
    <col min="6" max="6" width="9.7109375" bestFit="1" customWidth="1"/>
    <col min="7" max="7" width="18.85546875" bestFit="1" customWidth="1"/>
    <col min="8" max="8" width="20" bestFit="1" customWidth="1"/>
    <col min="9" max="9" width="10.5703125" style="6" bestFit="1" customWidth="1"/>
    <col min="10" max="10" width="11.28515625" style="6" bestFit="1" customWidth="1"/>
    <col min="11" max="11" width="10.5703125" style="9" bestFit="1" customWidth="1"/>
    <col min="12" max="12" width="10.5703125" style="3" bestFit="1" customWidth="1"/>
    <col min="14" max="14" width="10.85546875" bestFit="1" customWidth="1"/>
    <col min="19" max="19" width="12.28515625" bestFit="1" customWidth="1"/>
  </cols>
  <sheetData>
    <row r="4" spans="6:13">
      <c r="G4" s="11" t="s">
        <v>19</v>
      </c>
      <c r="J4" s="6">
        <f>J21</f>
        <v>3483.9399999999996</v>
      </c>
      <c r="M4" s="4"/>
    </row>
    <row r="5" spans="6:13">
      <c r="G5" s="11" t="s">
        <v>20</v>
      </c>
      <c r="I5" s="2"/>
      <c r="J5" s="2"/>
      <c r="L5" s="5">
        <f>SUM(L18:L39)</f>
        <v>2989.47</v>
      </c>
      <c r="M5" s="5"/>
    </row>
    <row r="6" spans="6:13">
      <c r="G6" s="11"/>
      <c r="I6" s="2"/>
      <c r="J6" s="2"/>
      <c r="M6" s="5"/>
    </row>
    <row r="7" spans="6:13">
      <c r="G7" s="11" t="s">
        <v>21</v>
      </c>
      <c r="J7" s="6">
        <f>J4-L5</f>
        <v>494.4699999999998</v>
      </c>
      <c r="M7" s="5"/>
    </row>
    <row r="12" spans="6:13">
      <c r="G12" s="11" t="s">
        <v>75</v>
      </c>
    </row>
    <row r="13" spans="6:13">
      <c r="F13" s="1"/>
      <c r="H13" s="1" t="s">
        <v>98</v>
      </c>
    </row>
    <row r="14" spans="6:13">
      <c r="F14" s="1"/>
      <c r="H14" s="1" t="s">
        <v>98</v>
      </c>
    </row>
    <row r="15" spans="6:13">
      <c r="F15" s="1"/>
      <c r="H15" s="1" t="s">
        <v>98</v>
      </c>
    </row>
    <row r="16" spans="6:13">
      <c r="F16" s="1"/>
    </row>
    <row r="17" spans="6:12">
      <c r="G17" s="11" t="s">
        <v>54</v>
      </c>
    </row>
    <row r="18" spans="6:12">
      <c r="G18" s="11" t="s">
        <v>55</v>
      </c>
      <c r="L18" s="5">
        <f>19</f>
        <v>19</v>
      </c>
    </row>
    <row r="19" spans="6:12">
      <c r="F19" s="1">
        <v>42556</v>
      </c>
      <c r="G19" s="1" t="s">
        <v>99</v>
      </c>
      <c r="H19" s="1" t="s">
        <v>99</v>
      </c>
      <c r="K19" s="9">
        <v>19</v>
      </c>
    </row>
    <row r="20" spans="6:12">
      <c r="F20" s="1"/>
      <c r="H20" s="1"/>
    </row>
    <row r="21" spans="6:12">
      <c r="G21" s="11" t="s">
        <v>56</v>
      </c>
      <c r="J21" s="6">
        <f>SUM(I22:I28)</f>
        <v>3483.9399999999996</v>
      </c>
    </row>
    <row r="22" spans="6:12">
      <c r="F22" s="1">
        <v>42552</v>
      </c>
      <c r="G22" s="12"/>
      <c r="H22" s="1"/>
      <c r="I22" s="6">
        <v>383.64</v>
      </c>
    </row>
    <row r="23" spans="6:12">
      <c r="F23" s="1">
        <v>42552</v>
      </c>
      <c r="H23" s="1"/>
      <c r="I23" s="6">
        <v>72.349999999999994</v>
      </c>
    </row>
    <row r="24" spans="6:12">
      <c r="F24" s="1">
        <v>42556</v>
      </c>
      <c r="H24" s="1"/>
      <c r="I24" s="6">
        <v>1433.98</v>
      </c>
    </row>
    <row r="25" spans="6:12">
      <c r="F25" s="1">
        <v>42556</v>
      </c>
      <c r="H25" s="1"/>
      <c r="I25" s="6">
        <v>845.81</v>
      </c>
    </row>
    <row r="26" spans="6:12">
      <c r="F26" s="1">
        <v>42556</v>
      </c>
      <c r="H26" s="1"/>
      <c r="I26" s="6">
        <v>73.349999999999994</v>
      </c>
    </row>
    <row r="27" spans="6:12">
      <c r="F27" s="1">
        <v>42556</v>
      </c>
      <c r="H27" s="1"/>
      <c r="I27" s="6">
        <v>31.12</v>
      </c>
    </row>
    <row r="28" spans="6:12">
      <c r="F28" s="1">
        <v>42557</v>
      </c>
      <c r="H28" s="1"/>
      <c r="I28" s="6">
        <v>643.69000000000005</v>
      </c>
    </row>
    <row r="29" spans="6:12">
      <c r="F29" s="1"/>
      <c r="H29" s="1"/>
    </row>
    <row r="30" spans="6:12">
      <c r="G30" s="11" t="s">
        <v>57</v>
      </c>
    </row>
    <row r="31" spans="6:12">
      <c r="G31" s="11" t="s">
        <v>58</v>
      </c>
    </row>
    <row r="32" spans="6:12">
      <c r="G32" s="11" t="s">
        <v>59</v>
      </c>
      <c r="L32" s="5">
        <f>SUM(K33:K35)</f>
        <v>2470.4699999999998</v>
      </c>
    </row>
    <row r="33" spans="5:19">
      <c r="F33" s="1">
        <v>42551</v>
      </c>
      <c r="G33" s="12" t="s">
        <v>120</v>
      </c>
      <c r="K33" s="9">
        <v>5</v>
      </c>
    </row>
    <row r="34" spans="5:19">
      <c r="F34" s="1">
        <v>42552</v>
      </c>
      <c r="G34" s="12" t="s">
        <v>120</v>
      </c>
      <c r="K34" s="9">
        <v>5</v>
      </c>
    </row>
    <row r="35" spans="5:19">
      <c r="F35" s="1">
        <v>42558</v>
      </c>
      <c r="G35" s="11" t="s">
        <v>121</v>
      </c>
      <c r="K35" s="9">
        <v>2460.4699999999998</v>
      </c>
    </row>
    <row r="36" spans="5:19">
      <c r="F36" s="1"/>
      <c r="H36" s="1"/>
    </row>
    <row r="37" spans="5:19">
      <c r="F37" s="1"/>
      <c r="H37" s="1" t="s">
        <v>102</v>
      </c>
    </row>
    <row r="38" spans="5:19">
      <c r="F38" s="1"/>
      <c r="H38" s="1"/>
    </row>
    <row r="39" spans="5:19">
      <c r="G39" t="s">
        <v>122</v>
      </c>
      <c r="L39" s="5">
        <f>K41</f>
        <v>500</v>
      </c>
    </row>
    <row r="40" spans="5:19">
      <c r="G40" s="8" t="s">
        <v>60</v>
      </c>
      <c r="H40" s="8" t="s">
        <v>61</v>
      </c>
      <c r="I40" s="7"/>
      <c r="J40" s="7"/>
      <c r="K40" s="10"/>
      <c r="L40" s="8"/>
      <c r="M40" s="8" t="s">
        <v>64</v>
      </c>
      <c r="N40" s="8" t="s">
        <v>65</v>
      </c>
      <c r="O40" s="8"/>
      <c r="P40" s="8" t="s">
        <v>67</v>
      </c>
      <c r="Q40" s="8"/>
      <c r="R40" s="8" t="s">
        <v>68</v>
      </c>
      <c r="S40" s="8" t="s">
        <v>69</v>
      </c>
    </row>
    <row r="41" spans="5:19">
      <c r="E41" t="s">
        <v>123</v>
      </c>
      <c r="F41" s="1"/>
      <c r="G41" t="s">
        <v>124</v>
      </c>
      <c r="H41" t="s">
        <v>125</v>
      </c>
      <c r="K41" s="9">
        <v>500</v>
      </c>
      <c r="M41" s="9"/>
      <c r="N41" s="9"/>
      <c r="O41" s="9"/>
      <c r="Q41" s="9"/>
      <c r="R41" s="9"/>
      <c r="S41" s="9">
        <f>K41</f>
        <v>500</v>
      </c>
    </row>
    <row r="42" spans="5:19">
      <c r="F42" s="1"/>
      <c r="M42" s="9"/>
      <c r="N42" s="9"/>
      <c r="O42" s="9"/>
      <c r="P42" s="9"/>
      <c r="Q42" s="9"/>
      <c r="R42" s="9"/>
      <c r="S42" s="9"/>
    </row>
    <row r="43" spans="5:19">
      <c r="F43" s="1"/>
      <c r="G43" t="s">
        <v>126</v>
      </c>
      <c r="K43" s="9">
        <v>105</v>
      </c>
      <c r="M43" s="9"/>
      <c r="N43" s="9"/>
      <c r="O43" s="9"/>
      <c r="P43" s="9"/>
      <c r="Q43" s="9"/>
      <c r="R43" s="9">
        <f>K43</f>
        <v>105</v>
      </c>
      <c r="S43" s="9"/>
    </row>
    <row r="44" spans="5:19">
      <c r="F44" s="1"/>
      <c r="S44" s="9"/>
    </row>
    <row r="45" spans="5:19">
      <c r="F45" s="1"/>
    </row>
    <row r="49" spans="6:10">
      <c r="F49" s="1"/>
      <c r="I49" s="2"/>
      <c r="J49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75209-36EF-4554-A779-7938E5EBFDD9}">
  <dimension ref="E4:S62"/>
  <sheetViews>
    <sheetView topLeftCell="A31" workbookViewId="0">
      <selection activeCell="D47" sqref="D47"/>
    </sheetView>
  </sheetViews>
  <sheetFormatPr defaultRowHeight="15"/>
  <cols>
    <col min="5" max="5" width="11.28515625" bestFit="1" customWidth="1"/>
    <col min="6" max="6" width="9.7109375" bestFit="1" customWidth="1"/>
    <col min="7" max="7" width="23.5703125" bestFit="1" customWidth="1"/>
    <col min="8" max="8" width="20" bestFit="1" customWidth="1"/>
    <col min="9" max="9" width="10.5703125" style="6" bestFit="1" customWidth="1"/>
    <col min="10" max="10" width="11.28515625" style="6" bestFit="1" customWidth="1"/>
    <col min="11" max="11" width="10.5703125" style="9" bestFit="1" customWidth="1"/>
    <col min="12" max="12" width="10.5703125" style="3" bestFit="1" customWidth="1"/>
    <col min="14" max="14" width="10.85546875" bestFit="1" customWidth="1"/>
    <col min="19" max="19" width="12.28515625" bestFit="1" customWidth="1"/>
  </cols>
  <sheetData>
    <row r="4" spans="6:13">
      <c r="G4" s="11" t="s">
        <v>19</v>
      </c>
      <c r="M4" s="4"/>
    </row>
    <row r="5" spans="6:13">
      <c r="G5" s="11" t="s">
        <v>20</v>
      </c>
      <c r="I5" s="2"/>
      <c r="J5" s="2"/>
      <c r="L5" s="5"/>
      <c r="M5" s="5"/>
    </row>
    <row r="6" spans="6:13">
      <c r="G6" s="11"/>
      <c r="I6" s="2"/>
      <c r="J6" s="2"/>
      <c r="M6" s="5"/>
    </row>
    <row r="7" spans="6:13">
      <c r="G7" s="11" t="s">
        <v>21</v>
      </c>
      <c r="M7" s="5"/>
    </row>
    <row r="12" spans="6:13">
      <c r="G12" s="11" t="s">
        <v>75</v>
      </c>
    </row>
    <row r="13" spans="6:13">
      <c r="F13" s="1"/>
      <c r="H13" s="1" t="s">
        <v>98</v>
      </c>
    </row>
    <row r="14" spans="6:13">
      <c r="F14" s="1"/>
      <c r="H14" s="1" t="s">
        <v>98</v>
      </c>
    </row>
    <row r="15" spans="6:13">
      <c r="F15" s="1"/>
      <c r="H15" s="1" t="s">
        <v>98</v>
      </c>
    </row>
    <row r="16" spans="6:13">
      <c r="F16" s="1"/>
    </row>
    <row r="17" spans="6:12">
      <c r="G17" s="11" t="s">
        <v>54</v>
      </c>
    </row>
    <row r="18" spans="6:12">
      <c r="G18" s="11" t="s">
        <v>55</v>
      </c>
      <c r="L18" s="5"/>
    </row>
    <row r="19" spans="6:12">
      <c r="F19" s="1"/>
      <c r="G19" s="1" t="s">
        <v>99</v>
      </c>
      <c r="H19" s="1" t="s">
        <v>99</v>
      </c>
    </row>
    <row r="20" spans="6:12">
      <c r="F20" s="1"/>
      <c r="H20" s="1"/>
    </row>
    <row r="21" spans="6:12">
      <c r="G21" s="11" t="s">
        <v>56</v>
      </c>
    </row>
    <row r="22" spans="6:12">
      <c r="F22" s="1"/>
      <c r="G22" s="12"/>
      <c r="H22" s="1"/>
    </row>
    <row r="23" spans="6:12">
      <c r="F23" s="1"/>
      <c r="H23" s="1"/>
    </row>
    <row r="24" spans="6:12">
      <c r="F24" s="1"/>
      <c r="H24" s="1"/>
    </row>
    <row r="25" spans="6:12">
      <c r="F25" s="1"/>
      <c r="H25" s="1"/>
    </row>
    <row r="26" spans="6:12">
      <c r="F26" s="1"/>
      <c r="H26" s="1"/>
    </row>
    <row r="27" spans="6:12">
      <c r="F27" s="1"/>
      <c r="H27" s="1"/>
    </row>
    <row r="28" spans="6:12">
      <c r="F28" s="1"/>
      <c r="H28" s="1"/>
    </row>
    <row r="29" spans="6:12">
      <c r="F29" s="1"/>
      <c r="H29" s="1"/>
    </row>
    <row r="30" spans="6:12">
      <c r="G30" s="11" t="s">
        <v>57</v>
      </c>
    </row>
    <row r="31" spans="6:12">
      <c r="G31" s="11" t="s">
        <v>58</v>
      </c>
    </row>
    <row r="32" spans="6:12">
      <c r="G32" s="11" t="s">
        <v>59</v>
      </c>
      <c r="L32" s="5"/>
    </row>
    <row r="33" spans="5:19">
      <c r="F33" s="1"/>
      <c r="G33" s="12" t="s">
        <v>120</v>
      </c>
    </row>
    <row r="34" spans="5:19">
      <c r="F34" s="1"/>
      <c r="G34" s="12" t="s">
        <v>120</v>
      </c>
    </row>
    <row r="35" spans="5:19">
      <c r="F35" s="1"/>
      <c r="G35" s="11" t="s">
        <v>121</v>
      </c>
    </row>
    <row r="36" spans="5:19">
      <c r="F36" s="1"/>
      <c r="H36" s="1"/>
    </row>
    <row r="37" spans="5:19">
      <c r="F37" s="1"/>
      <c r="H37" s="1" t="s">
        <v>102</v>
      </c>
    </row>
    <row r="38" spans="5:19">
      <c r="F38" s="1"/>
      <c r="H38" s="1"/>
    </row>
    <row r="39" spans="5:19">
      <c r="G39" t="s">
        <v>122</v>
      </c>
      <c r="L39" s="5"/>
    </row>
    <row r="40" spans="5:19">
      <c r="G40" s="8" t="s">
        <v>60</v>
      </c>
      <c r="H40" s="8" t="s">
        <v>61</v>
      </c>
      <c r="I40" s="7"/>
      <c r="J40" s="7"/>
      <c r="K40" s="10"/>
      <c r="L40" s="8" t="s">
        <v>127</v>
      </c>
      <c r="M40" s="8" t="s">
        <v>64</v>
      </c>
      <c r="N40" s="8" t="s">
        <v>65</v>
      </c>
      <c r="O40" s="8"/>
      <c r="P40" s="8" t="s">
        <v>67</v>
      </c>
      <c r="Q40" s="8"/>
      <c r="R40" s="8" t="s">
        <v>68</v>
      </c>
      <c r="S40" s="8" t="s">
        <v>69</v>
      </c>
    </row>
    <row r="41" spans="5:19">
      <c r="E41" t="s">
        <v>128</v>
      </c>
      <c r="F41" s="1"/>
      <c r="M41" s="9"/>
      <c r="N41" s="9"/>
      <c r="O41" s="9"/>
      <c r="P41" s="9">
        <f>K41</f>
        <v>0</v>
      </c>
      <c r="Q41" s="9"/>
      <c r="R41" s="9"/>
      <c r="S41" s="9"/>
    </row>
    <row r="42" spans="5:19">
      <c r="F42" s="1"/>
      <c r="M42" s="9"/>
      <c r="N42" s="9"/>
      <c r="O42" s="9"/>
      <c r="P42" s="9"/>
      <c r="Q42" s="9"/>
      <c r="R42" s="9"/>
      <c r="S42" s="9"/>
    </row>
    <row r="43" spans="5:19">
      <c r="F43" s="1"/>
      <c r="M43" s="9"/>
      <c r="N43" s="9"/>
      <c r="O43" s="9"/>
      <c r="P43" s="9"/>
      <c r="Q43" s="9"/>
      <c r="R43" s="9"/>
      <c r="S43" s="9"/>
    </row>
    <row r="44" spans="5:19">
      <c r="F44" s="1"/>
      <c r="M44" s="9"/>
      <c r="N44" s="9"/>
      <c r="O44" s="9"/>
      <c r="P44" s="9"/>
      <c r="Q44" s="9"/>
      <c r="R44" s="9"/>
      <c r="S44" s="9"/>
    </row>
    <row r="45" spans="5:19">
      <c r="F45" s="1"/>
    </row>
    <row r="46" spans="5:19">
      <c r="G46" t="s">
        <v>129</v>
      </c>
    </row>
    <row r="47" spans="5:19">
      <c r="G47" s="8" t="s">
        <v>60</v>
      </c>
      <c r="H47" s="8" t="s">
        <v>61</v>
      </c>
      <c r="I47" s="7"/>
      <c r="J47" s="7"/>
      <c r="K47" s="10"/>
      <c r="L47" s="8" t="s">
        <v>127</v>
      </c>
      <c r="M47" s="8" t="s">
        <v>64</v>
      </c>
      <c r="N47" s="8" t="s">
        <v>65</v>
      </c>
      <c r="O47" s="8" t="s">
        <v>66</v>
      </c>
      <c r="P47" s="8" t="s">
        <v>130</v>
      </c>
      <c r="Q47" s="8"/>
      <c r="R47" s="8" t="s">
        <v>68</v>
      </c>
      <c r="S47" s="8" t="s">
        <v>69</v>
      </c>
    </row>
    <row r="48" spans="5:19">
      <c r="F48" s="1">
        <v>42590</v>
      </c>
      <c r="G48" t="s">
        <v>131</v>
      </c>
      <c r="H48" t="s">
        <v>132</v>
      </c>
      <c r="I48" s="9">
        <v>75.989999999999995</v>
      </c>
      <c r="J48" s="9"/>
      <c r="L48" s="9"/>
      <c r="M48" s="9">
        <v>75.989999999999995</v>
      </c>
      <c r="N48" s="9"/>
      <c r="O48" s="9"/>
      <c r="P48" s="9"/>
      <c r="Q48" s="9"/>
      <c r="R48" s="9"/>
      <c r="S48" s="9"/>
    </row>
    <row r="49" spans="6:19">
      <c r="F49" s="1">
        <v>42592</v>
      </c>
      <c r="G49" t="s">
        <v>131</v>
      </c>
      <c r="H49" t="s">
        <v>132</v>
      </c>
      <c r="I49" s="9">
        <v>48.76</v>
      </c>
      <c r="J49" s="9"/>
      <c r="L49" s="9"/>
      <c r="M49" s="9">
        <f>I49</f>
        <v>48.76</v>
      </c>
      <c r="N49" s="9"/>
      <c r="O49" s="9"/>
      <c r="P49" s="9"/>
      <c r="Q49" s="9"/>
      <c r="R49" s="9"/>
      <c r="S49" s="9"/>
    </row>
    <row r="50" spans="6:19">
      <c r="G50" t="s">
        <v>131</v>
      </c>
      <c r="H50" t="s">
        <v>132</v>
      </c>
      <c r="I50" s="9">
        <v>132.18</v>
      </c>
      <c r="J50" s="9"/>
      <c r="L50" s="9"/>
      <c r="M50" s="9">
        <f>I50</f>
        <v>132.18</v>
      </c>
      <c r="N50" s="9"/>
      <c r="O50" s="9"/>
      <c r="P50" s="9"/>
      <c r="Q50" s="9"/>
      <c r="R50" s="9"/>
      <c r="S50" s="9"/>
    </row>
    <row r="51" spans="6:19">
      <c r="G51" t="s">
        <v>133</v>
      </c>
      <c r="I51" s="9">
        <v>365.73</v>
      </c>
      <c r="J51" s="9"/>
      <c r="L51" s="9"/>
      <c r="M51" s="9"/>
      <c r="N51" s="9"/>
      <c r="O51" s="9">
        <f>I51</f>
        <v>365.73</v>
      </c>
      <c r="P51" s="9"/>
      <c r="Q51" s="9"/>
      <c r="R51" s="9"/>
      <c r="S51" s="9"/>
    </row>
    <row r="52" spans="6:19">
      <c r="G52" t="s">
        <v>131</v>
      </c>
      <c r="H52" t="s">
        <v>132</v>
      </c>
      <c r="I52" s="9">
        <v>269.95999999999998</v>
      </c>
      <c r="J52" s="9"/>
      <c r="L52" s="9"/>
      <c r="M52" s="9">
        <f>I52</f>
        <v>269.95999999999998</v>
      </c>
      <c r="N52" s="9"/>
      <c r="O52" s="9"/>
      <c r="P52" s="9"/>
      <c r="Q52" s="9"/>
      <c r="R52" s="9"/>
      <c r="S52" s="9"/>
    </row>
    <row r="53" spans="6:19">
      <c r="G53" t="s">
        <v>134</v>
      </c>
      <c r="H53" t="s">
        <v>135</v>
      </c>
      <c r="I53" s="9">
        <v>72.98</v>
      </c>
      <c r="J53" s="9"/>
      <c r="L53" s="9">
        <f>I53</f>
        <v>72.98</v>
      </c>
      <c r="M53" s="9"/>
      <c r="N53" s="9"/>
      <c r="O53" s="9"/>
      <c r="P53" s="9"/>
      <c r="Q53" s="9"/>
      <c r="R53" s="9"/>
      <c r="S53" s="9"/>
    </row>
    <row r="54" spans="6:19">
      <c r="G54" t="s">
        <v>131</v>
      </c>
      <c r="H54" t="s">
        <v>132</v>
      </c>
      <c r="I54" s="9">
        <v>149.38999999999999</v>
      </c>
      <c r="J54" s="9"/>
      <c r="L54" s="9"/>
      <c r="M54" s="9">
        <f>I54</f>
        <v>149.38999999999999</v>
      </c>
      <c r="N54" s="9"/>
      <c r="O54" s="9"/>
      <c r="P54" s="9"/>
      <c r="Q54" s="9"/>
      <c r="R54" s="9"/>
      <c r="S54" s="9"/>
    </row>
    <row r="55" spans="6:19">
      <c r="G55" t="s">
        <v>131</v>
      </c>
      <c r="H55" t="s">
        <v>132</v>
      </c>
      <c r="I55" s="9">
        <v>53.45</v>
      </c>
      <c r="J55" s="9"/>
      <c r="L55" s="9"/>
      <c r="M55" s="9">
        <f>I55</f>
        <v>53.45</v>
      </c>
      <c r="N55" s="9"/>
      <c r="O55" s="9"/>
      <c r="P55" s="9"/>
      <c r="Q55" s="9"/>
      <c r="R55" s="9"/>
      <c r="S55" s="9"/>
    </row>
    <row r="56" spans="6:19">
      <c r="G56" t="s">
        <v>136</v>
      </c>
      <c r="H56" t="s">
        <v>137</v>
      </c>
      <c r="I56" s="9">
        <v>45</v>
      </c>
      <c r="J56" s="9"/>
      <c r="L56" s="9"/>
      <c r="M56" s="9"/>
      <c r="N56" s="9"/>
      <c r="O56" s="9"/>
      <c r="P56" s="9">
        <f>I56</f>
        <v>45</v>
      </c>
      <c r="Q56" s="9"/>
      <c r="R56" s="9"/>
      <c r="S56" s="9"/>
    </row>
    <row r="57" spans="6:19">
      <c r="F57" s="1">
        <v>42611</v>
      </c>
      <c r="G57" t="s">
        <v>131</v>
      </c>
      <c r="H57" t="s">
        <v>132</v>
      </c>
      <c r="I57" s="9">
        <v>25.48</v>
      </c>
      <c r="J57" s="9"/>
      <c r="L57" s="9"/>
      <c r="M57" s="9">
        <f>I57</f>
        <v>25.48</v>
      </c>
      <c r="N57" s="9"/>
      <c r="O57" s="9"/>
      <c r="P57" s="9"/>
      <c r="Q57" s="9"/>
      <c r="R57" s="9"/>
      <c r="S57" s="9"/>
    </row>
    <row r="58" spans="6:19">
      <c r="I58" s="9"/>
      <c r="J58" s="9"/>
      <c r="L58" s="9"/>
      <c r="M58" s="9"/>
      <c r="N58" s="9"/>
      <c r="O58" s="9"/>
      <c r="P58" s="9"/>
      <c r="Q58" s="9"/>
      <c r="R58" s="9"/>
      <c r="S58" s="9"/>
    </row>
    <row r="59" spans="6:19">
      <c r="G59" t="s">
        <v>138</v>
      </c>
      <c r="H59" t="s">
        <v>139</v>
      </c>
      <c r="I59" s="9">
        <v>356.19</v>
      </c>
      <c r="J59" s="9"/>
      <c r="L59" s="9"/>
      <c r="M59" s="9"/>
      <c r="N59" s="9"/>
      <c r="O59" s="9"/>
      <c r="P59" s="9">
        <f>I59</f>
        <v>356.19</v>
      </c>
      <c r="Q59" s="9"/>
      <c r="R59" s="9"/>
      <c r="S59" s="9"/>
    </row>
    <row r="60" spans="6:19">
      <c r="I60" s="9"/>
      <c r="J60" s="9"/>
      <c r="L60" s="9"/>
      <c r="M60" s="9"/>
      <c r="N60" s="9"/>
      <c r="O60" s="9"/>
      <c r="P60" s="9"/>
      <c r="Q60" s="9"/>
      <c r="R60" s="9"/>
      <c r="S60" s="9"/>
    </row>
    <row r="61" spans="6:19">
      <c r="I61" s="9"/>
      <c r="J61" s="9"/>
      <c r="L61" s="9"/>
      <c r="M61" s="9"/>
      <c r="N61" s="9"/>
      <c r="O61" s="9"/>
      <c r="P61" s="9"/>
      <c r="Q61" s="9"/>
      <c r="R61" s="9"/>
      <c r="S61" s="9"/>
    </row>
    <row r="62" spans="6:19">
      <c r="I62" s="9">
        <f>SUM(I48:I59)</f>
        <v>1595.1100000000004</v>
      </c>
      <c r="J62" s="9">
        <f t="shared" ref="J62:S62" si="0">SUM(J48:J59)</f>
        <v>0</v>
      </c>
      <c r="K62" s="9">
        <f t="shared" si="0"/>
        <v>0</v>
      </c>
      <c r="L62" s="9">
        <f t="shared" si="0"/>
        <v>72.98</v>
      </c>
      <c r="M62" s="9">
        <f t="shared" si="0"/>
        <v>755.21</v>
      </c>
      <c r="N62" s="9">
        <f t="shared" si="0"/>
        <v>0</v>
      </c>
      <c r="O62" s="9">
        <f t="shared" si="0"/>
        <v>365.73</v>
      </c>
      <c r="P62" s="9">
        <f t="shared" si="0"/>
        <v>401.19</v>
      </c>
      <c r="Q62" s="9">
        <f t="shared" si="0"/>
        <v>0</v>
      </c>
      <c r="R62" s="9">
        <f t="shared" si="0"/>
        <v>0</v>
      </c>
      <c r="S62" s="9">
        <f t="shared" si="0"/>
        <v>0</v>
      </c>
    </row>
  </sheetData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ECB2D-3E46-4CD9-8623-BE6B2065CD90}">
  <dimension ref="D4:V49"/>
  <sheetViews>
    <sheetView topLeftCell="A19" workbookViewId="0">
      <selection activeCell="G51" sqref="G51"/>
    </sheetView>
  </sheetViews>
  <sheetFormatPr defaultRowHeight="15"/>
  <cols>
    <col min="5" max="5" width="11.28515625" bestFit="1" customWidth="1"/>
    <col min="6" max="6" width="10.7109375" bestFit="1" customWidth="1"/>
    <col min="7" max="7" width="23.28515625" customWidth="1"/>
    <col min="8" max="8" width="18" bestFit="1" customWidth="1"/>
    <col min="9" max="9" width="10.5703125" style="6" bestFit="1" customWidth="1"/>
    <col min="10" max="10" width="10.5703125" style="9" bestFit="1" customWidth="1"/>
    <col min="11" max="11" width="9.28515625" style="13" bestFit="1" customWidth="1"/>
    <col min="12" max="13" width="10.5703125" style="13" bestFit="1" customWidth="1"/>
    <col min="14" max="14" width="10.5703125" style="13" customWidth="1"/>
    <col min="15" max="15" width="11" style="13" bestFit="1" customWidth="1"/>
    <col min="16" max="16" width="10.85546875" style="13" bestFit="1" customWidth="1"/>
    <col min="17" max="17" width="9.140625" style="13"/>
    <col min="18" max="18" width="10.5703125" style="13" customWidth="1"/>
    <col min="19" max="19" width="10.5703125" style="13" bestFit="1" customWidth="1"/>
    <col min="20" max="20" width="12.42578125" style="13" bestFit="1" customWidth="1"/>
    <col min="21" max="21" width="9.140625" style="13"/>
    <col min="22" max="22" width="12.28515625" style="13" bestFit="1" customWidth="1"/>
  </cols>
  <sheetData>
    <row r="4" spans="7:18">
      <c r="G4" t="s">
        <v>19</v>
      </c>
      <c r="I4" s="6">
        <f>SUM(I13:I18)</f>
        <v>2300</v>
      </c>
    </row>
    <row r="5" spans="7:18">
      <c r="G5" t="s">
        <v>20</v>
      </c>
      <c r="I5" s="2"/>
      <c r="J5" s="9">
        <f>SUM(J13:J18)</f>
        <v>910.1</v>
      </c>
      <c r="L5" s="9"/>
      <c r="M5" s="9"/>
      <c r="N5" s="9"/>
      <c r="R5" s="9"/>
    </row>
    <row r="6" spans="7:18">
      <c r="I6" s="2"/>
      <c r="L6" s="9"/>
      <c r="M6" s="9"/>
      <c r="N6" s="9"/>
      <c r="R6" s="9"/>
    </row>
    <row r="7" spans="7:18">
      <c r="G7" t="s">
        <v>21</v>
      </c>
      <c r="I7" s="5">
        <f>I4-J5</f>
        <v>1389.9</v>
      </c>
      <c r="L7" s="9"/>
      <c r="M7" s="9"/>
      <c r="N7" s="9"/>
      <c r="R7" s="9"/>
    </row>
    <row r="13" spans="7:18">
      <c r="G13" t="s">
        <v>140</v>
      </c>
    </row>
    <row r="14" spans="7:18">
      <c r="G14" t="s">
        <v>55</v>
      </c>
      <c r="J14" s="9">
        <v>208.62</v>
      </c>
    </row>
    <row r="15" spans="7:18">
      <c r="G15" t="s">
        <v>56</v>
      </c>
      <c r="I15" s="6">
        <v>2300</v>
      </c>
    </row>
    <row r="16" spans="7:18">
      <c r="G16" t="s">
        <v>57</v>
      </c>
      <c r="J16" s="9">
        <f>J28</f>
        <v>0</v>
      </c>
    </row>
    <row r="17" spans="5:22">
      <c r="G17" t="s">
        <v>58</v>
      </c>
      <c r="J17" s="9">
        <v>644.48</v>
      </c>
    </row>
    <row r="18" spans="5:22">
      <c r="G18" t="s">
        <v>141</v>
      </c>
      <c r="J18" s="9">
        <v>57</v>
      </c>
    </row>
    <row r="21" spans="5:22">
      <c r="G21" t="s">
        <v>60</v>
      </c>
    </row>
    <row r="22" spans="5:22">
      <c r="G22" s="8" t="s">
        <v>60</v>
      </c>
      <c r="H22" s="8" t="s">
        <v>61</v>
      </c>
      <c r="I22" s="7"/>
      <c r="J22" s="10"/>
      <c r="K22" s="10"/>
      <c r="L22" s="10" t="s">
        <v>24</v>
      </c>
      <c r="M22" s="10" t="s">
        <v>62</v>
      </c>
      <c r="N22" s="8" t="s">
        <v>127</v>
      </c>
      <c r="O22" s="10" t="s">
        <v>64</v>
      </c>
      <c r="P22" s="10" t="s">
        <v>65</v>
      </c>
      <c r="Q22" s="8" t="s">
        <v>66</v>
      </c>
      <c r="R22" s="10" t="s">
        <v>142</v>
      </c>
      <c r="S22" s="8" t="s">
        <v>130</v>
      </c>
      <c r="T22" s="10"/>
      <c r="U22" s="10" t="s">
        <v>68</v>
      </c>
      <c r="V22" s="10" t="s">
        <v>69</v>
      </c>
    </row>
    <row r="23" spans="5:22">
      <c r="F23" s="1"/>
    </row>
    <row r="24" spans="5:22">
      <c r="F24" s="1"/>
    </row>
    <row r="25" spans="5:22">
      <c r="F25" s="1"/>
    </row>
    <row r="28" spans="5:22">
      <c r="J28" s="9">
        <f>SUM(J23:J26)</f>
        <v>0</v>
      </c>
    </row>
    <row r="31" spans="5:22">
      <c r="E31" t="s">
        <v>143</v>
      </c>
      <c r="F31" s="1">
        <v>42620</v>
      </c>
      <c r="G31" t="s">
        <v>144</v>
      </c>
      <c r="H31" t="s">
        <v>145</v>
      </c>
      <c r="J31" s="9">
        <v>239.94</v>
      </c>
      <c r="O31" s="13">
        <f>J31</f>
        <v>239.94</v>
      </c>
    </row>
    <row r="32" spans="5:22">
      <c r="E32" t="s">
        <v>146</v>
      </c>
      <c r="F32" s="1">
        <v>42630</v>
      </c>
      <c r="G32" t="s">
        <v>147</v>
      </c>
      <c r="H32" t="s">
        <v>148</v>
      </c>
      <c r="J32" s="9">
        <v>2000</v>
      </c>
      <c r="L32" s="13">
        <f>J32</f>
        <v>2000</v>
      </c>
    </row>
    <row r="33" spans="4:22">
      <c r="E33" t="s">
        <v>149</v>
      </c>
      <c r="F33" s="1">
        <v>42635</v>
      </c>
      <c r="G33" t="s">
        <v>150</v>
      </c>
      <c r="H33" t="s">
        <v>151</v>
      </c>
      <c r="J33" s="9">
        <v>213</v>
      </c>
      <c r="S33" s="13">
        <f>J33</f>
        <v>213</v>
      </c>
    </row>
    <row r="34" spans="4:22">
      <c r="E34" t="s">
        <v>152</v>
      </c>
      <c r="F34" s="1">
        <v>42637</v>
      </c>
      <c r="G34" t="s">
        <v>153</v>
      </c>
      <c r="H34" t="s">
        <v>154</v>
      </c>
      <c r="I34" s="2"/>
      <c r="J34" s="9">
        <v>1084.17</v>
      </c>
      <c r="M34" s="13">
        <f>J34</f>
        <v>1084.17</v>
      </c>
    </row>
    <row r="35" spans="4:22">
      <c r="E35" t="s">
        <v>155</v>
      </c>
      <c r="F35" s="1">
        <v>42638</v>
      </c>
      <c r="G35" t="s">
        <v>144</v>
      </c>
      <c r="H35" t="s">
        <v>145</v>
      </c>
      <c r="J35" s="9">
        <v>102.16</v>
      </c>
      <c r="O35" s="13">
        <f>J35</f>
        <v>102.16</v>
      </c>
    </row>
    <row r="36" spans="4:22">
      <c r="E36" t="s">
        <v>156</v>
      </c>
      <c r="F36" s="1">
        <v>42639</v>
      </c>
      <c r="G36" t="s">
        <v>157</v>
      </c>
      <c r="J36" s="9">
        <v>74.48</v>
      </c>
      <c r="S36" s="13">
        <f>J36</f>
        <v>74.48</v>
      </c>
    </row>
    <row r="37" spans="4:22">
      <c r="F37" s="1"/>
    </row>
    <row r="39" spans="4:22">
      <c r="G39" t="s">
        <v>129</v>
      </c>
      <c r="J39" s="6"/>
      <c r="K39" s="9"/>
      <c r="L39" s="3"/>
      <c r="M39"/>
      <c r="N39"/>
      <c r="O39"/>
      <c r="P39"/>
      <c r="Q39"/>
      <c r="R39"/>
      <c r="S39"/>
      <c r="T39"/>
      <c r="U39"/>
    </row>
    <row r="40" spans="4:22">
      <c r="G40" s="8" t="s">
        <v>60</v>
      </c>
      <c r="H40" s="8" t="s">
        <v>61</v>
      </c>
      <c r="I40" s="7"/>
      <c r="J40" s="7"/>
      <c r="K40" s="8"/>
      <c r="L40" s="10" t="s">
        <v>24</v>
      </c>
      <c r="M40" s="8" t="s">
        <v>62</v>
      </c>
      <c r="N40" s="8" t="s">
        <v>127</v>
      </c>
      <c r="O40" s="8" t="s">
        <v>64</v>
      </c>
      <c r="P40" s="8" t="s">
        <v>65</v>
      </c>
      <c r="Q40" s="8" t="s">
        <v>66</v>
      </c>
      <c r="R40" s="10" t="s">
        <v>142</v>
      </c>
      <c r="S40" s="8" t="s">
        <v>130</v>
      </c>
      <c r="U40" s="8" t="s">
        <v>68</v>
      </c>
      <c r="V40" s="8" t="s">
        <v>69</v>
      </c>
    </row>
    <row r="42" spans="4:22">
      <c r="D42" t="s">
        <v>158</v>
      </c>
      <c r="F42" s="1">
        <v>42614</v>
      </c>
      <c r="G42" t="s">
        <v>159</v>
      </c>
      <c r="H42" t="s">
        <v>160</v>
      </c>
      <c r="J42" s="9">
        <f>695.07</f>
        <v>695.07</v>
      </c>
      <c r="K42" s="9"/>
      <c r="L42" s="9"/>
      <c r="M42" s="9"/>
      <c r="N42" s="9"/>
      <c r="O42" s="9"/>
      <c r="P42" s="9"/>
      <c r="Q42" s="9"/>
      <c r="R42" s="9"/>
      <c r="S42" s="9">
        <f>J42</f>
        <v>695.07</v>
      </c>
      <c r="T42" s="9"/>
      <c r="U42" s="9"/>
      <c r="V42" s="9"/>
    </row>
    <row r="43" spans="4:22">
      <c r="F43" s="1">
        <v>42614</v>
      </c>
      <c r="G43" t="s">
        <v>159</v>
      </c>
      <c r="H43" t="s">
        <v>161</v>
      </c>
      <c r="J43" s="9">
        <f>2332.15</f>
        <v>2332.15</v>
      </c>
      <c r="K43" s="9"/>
      <c r="L43" s="9"/>
      <c r="M43" s="9"/>
      <c r="N43" s="9"/>
      <c r="O43" s="9"/>
      <c r="P43" s="9"/>
      <c r="Q43" s="9"/>
      <c r="R43" s="9">
        <f>J43</f>
        <v>2332.15</v>
      </c>
      <c r="S43" s="9"/>
      <c r="T43" s="9"/>
      <c r="U43" s="9"/>
      <c r="V43" s="9"/>
    </row>
    <row r="44" spans="4:22">
      <c r="F44" s="1">
        <v>42622</v>
      </c>
      <c r="G44" t="s">
        <v>159</v>
      </c>
      <c r="H44" t="s">
        <v>162</v>
      </c>
      <c r="J44" s="9">
        <v>53.54</v>
      </c>
      <c r="K44" s="9"/>
      <c r="L44" s="9"/>
      <c r="M44" s="9"/>
      <c r="N44" s="9"/>
      <c r="O44" s="9"/>
      <c r="P44" s="9"/>
      <c r="Q44" s="9"/>
      <c r="R44" s="9"/>
      <c r="S44" s="9"/>
      <c r="T44" s="9"/>
      <c r="U44" s="9">
        <f>J44</f>
        <v>53.54</v>
      </c>
      <c r="V44" s="9"/>
    </row>
    <row r="45" spans="4:22">
      <c r="F45" s="1">
        <v>42629</v>
      </c>
      <c r="G45" t="s">
        <v>159</v>
      </c>
      <c r="H45" t="s">
        <v>163</v>
      </c>
      <c r="J45" s="9">
        <v>206.51</v>
      </c>
      <c r="K45" s="9"/>
      <c r="L45" s="9"/>
      <c r="M45" s="9"/>
      <c r="N45" s="9"/>
      <c r="O45" s="9"/>
      <c r="P45" s="9"/>
      <c r="Q45" s="9"/>
      <c r="R45" s="9"/>
      <c r="S45" s="9">
        <f>J45</f>
        <v>206.51</v>
      </c>
      <c r="T45" s="9"/>
      <c r="U45" s="9"/>
      <c r="V45" s="9"/>
    </row>
    <row r="46" spans="4:22">
      <c r="F46" s="1">
        <v>42629</v>
      </c>
      <c r="G46" t="s">
        <v>159</v>
      </c>
      <c r="H46" t="s">
        <v>161</v>
      </c>
      <c r="J46" s="9">
        <v>563.76</v>
      </c>
      <c r="K46" s="9"/>
      <c r="L46" s="9"/>
      <c r="M46" s="9"/>
      <c r="N46" s="9"/>
      <c r="O46" s="9"/>
      <c r="P46" s="9"/>
      <c r="Q46" s="9"/>
      <c r="R46" s="9">
        <f>J46</f>
        <v>563.76</v>
      </c>
      <c r="S46" s="9"/>
      <c r="T46" s="9"/>
      <c r="U46" s="9"/>
      <c r="V46" s="9"/>
    </row>
    <row r="47" spans="4:22">
      <c r="F47" s="1">
        <v>42636</v>
      </c>
      <c r="G47" t="s">
        <v>159</v>
      </c>
      <c r="H47" t="s">
        <v>162</v>
      </c>
      <c r="J47" s="9">
        <v>42.84</v>
      </c>
      <c r="K47" s="9"/>
      <c r="L47" s="9"/>
      <c r="M47" s="9"/>
      <c r="N47" s="9"/>
      <c r="O47" s="9"/>
      <c r="P47" s="9"/>
      <c r="Q47" s="9"/>
      <c r="R47" s="9"/>
      <c r="S47" s="9"/>
      <c r="T47" s="9"/>
      <c r="U47" s="9">
        <f>J47</f>
        <v>42.84</v>
      </c>
      <c r="V47" s="9"/>
    </row>
    <row r="48" spans="4:22"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</row>
    <row r="49" spans="10:22">
      <c r="J49" s="9">
        <f>SUM(J31:J47)</f>
        <v>7607.62</v>
      </c>
      <c r="K49" s="9"/>
      <c r="L49" s="9">
        <f t="shared" ref="L49:V49" si="0">SUM(L31:L47)</f>
        <v>2000</v>
      </c>
      <c r="M49" s="9">
        <f t="shared" si="0"/>
        <v>1084.17</v>
      </c>
      <c r="N49" s="9">
        <f t="shared" si="0"/>
        <v>0</v>
      </c>
      <c r="O49" s="9">
        <f t="shared" si="0"/>
        <v>342.1</v>
      </c>
      <c r="P49" s="9">
        <f t="shared" si="0"/>
        <v>0</v>
      </c>
      <c r="Q49" s="9">
        <f t="shared" si="0"/>
        <v>0</v>
      </c>
      <c r="R49" s="9">
        <f t="shared" si="0"/>
        <v>2895.91</v>
      </c>
      <c r="S49" s="9">
        <f t="shared" si="0"/>
        <v>1189.06</v>
      </c>
      <c r="T49" s="9">
        <f t="shared" si="0"/>
        <v>0</v>
      </c>
      <c r="U49" s="9">
        <f t="shared" si="0"/>
        <v>96.38</v>
      </c>
      <c r="V49" s="9">
        <f t="shared" si="0"/>
        <v>0</v>
      </c>
    </row>
  </sheetData>
  <phoneticPr fontId="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DB974-584F-4AAC-8A7E-B3EB5EB95D8D}">
  <dimension ref="D4:V53"/>
  <sheetViews>
    <sheetView topLeftCell="A19" workbookViewId="0">
      <selection activeCell="C34" sqref="C34"/>
    </sheetView>
  </sheetViews>
  <sheetFormatPr defaultRowHeight="15"/>
  <cols>
    <col min="5" max="5" width="11.28515625" bestFit="1" customWidth="1"/>
    <col min="6" max="6" width="10.7109375" bestFit="1" customWidth="1"/>
    <col min="7" max="7" width="18.85546875" bestFit="1" customWidth="1"/>
    <col min="8" max="8" width="18" bestFit="1" customWidth="1"/>
    <col min="9" max="9" width="11.28515625" style="6" bestFit="1" customWidth="1"/>
    <col min="10" max="10" width="10.5703125" style="9" bestFit="1" customWidth="1"/>
    <col min="12" max="12" width="10.5703125" bestFit="1" customWidth="1"/>
    <col min="13" max="13" width="10.85546875" bestFit="1" customWidth="1"/>
    <col min="14" max="14" width="10.85546875" customWidth="1"/>
    <col min="15" max="15" width="10.5703125" bestFit="1" customWidth="1"/>
    <col min="17" max="17" width="10.5703125" bestFit="1" customWidth="1"/>
    <col min="18" max="18" width="10.5703125" customWidth="1"/>
    <col min="19" max="19" width="12.28515625" bestFit="1" customWidth="1"/>
  </cols>
  <sheetData>
    <row r="4" spans="7:12">
      <c r="G4" t="s">
        <v>19</v>
      </c>
      <c r="I4" s="6">
        <f>SUM(I13:I18)</f>
        <v>0</v>
      </c>
      <c r="L4" s="4"/>
    </row>
    <row r="5" spans="7:12">
      <c r="G5" t="s">
        <v>20</v>
      </c>
      <c r="I5" s="2"/>
      <c r="J5" s="9">
        <f>SUM(J13:J18)</f>
        <v>793.1</v>
      </c>
      <c r="L5" s="5"/>
    </row>
    <row r="6" spans="7:12">
      <c r="I6" s="2"/>
      <c r="L6" s="5"/>
    </row>
    <row r="7" spans="7:12">
      <c r="G7" t="s">
        <v>21</v>
      </c>
      <c r="I7" s="5">
        <f>I4-J5</f>
        <v>-793.1</v>
      </c>
      <c r="L7" s="5"/>
    </row>
    <row r="12" spans="7:12">
      <c r="G12" t="s">
        <v>164</v>
      </c>
      <c r="I12" s="6">
        <v>475.25</v>
      </c>
    </row>
    <row r="13" spans="7:12">
      <c r="G13" t="s">
        <v>140</v>
      </c>
    </row>
    <row r="14" spans="7:12">
      <c r="G14" t="s">
        <v>55</v>
      </c>
      <c r="J14" s="9">
        <v>97</v>
      </c>
    </row>
    <row r="15" spans="7:12">
      <c r="G15" t="s">
        <v>56</v>
      </c>
    </row>
    <row r="16" spans="7:12">
      <c r="G16" t="s">
        <v>57</v>
      </c>
      <c r="J16" s="9">
        <f>J28</f>
        <v>569.1</v>
      </c>
    </row>
    <row r="17" spans="4:22">
      <c r="G17" t="s">
        <v>58</v>
      </c>
    </row>
    <row r="18" spans="4:22">
      <c r="G18" t="s">
        <v>141</v>
      </c>
      <c r="J18" s="9">
        <v>127</v>
      </c>
    </row>
    <row r="22" spans="4:22">
      <c r="G22" s="8" t="s">
        <v>60</v>
      </c>
      <c r="H22" s="8" t="s">
        <v>61</v>
      </c>
      <c r="I22" s="7"/>
      <c r="J22" s="10"/>
      <c r="K22" s="10"/>
      <c r="L22" s="8" t="s">
        <v>24</v>
      </c>
      <c r="M22" s="8" t="s">
        <v>62</v>
      </c>
      <c r="N22" s="8" t="s">
        <v>63</v>
      </c>
      <c r="O22" s="8" t="s">
        <v>64</v>
      </c>
      <c r="P22" s="8" t="s">
        <v>65</v>
      </c>
      <c r="Q22" s="8" t="s">
        <v>66</v>
      </c>
      <c r="R22" s="8"/>
      <c r="S22" s="8" t="s">
        <v>67</v>
      </c>
      <c r="T22" s="8" t="s">
        <v>130</v>
      </c>
      <c r="U22" s="8" t="s">
        <v>68</v>
      </c>
      <c r="V22" s="8" t="s">
        <v>69</v>
      </c>
    </row>
    <row r="23" spans="4:22">
      <c r="E23" t="s">
        <v>165</v>
      </c>
      <c r="F23" s="1">
        <v>42655</v>
      </c>
      <c r="G23" t="s">
        <v>147</v>
      </c>
      <c r="H23" t="s">
        <v>166</v>
      </c>
      <c r="J23" s="9">
        <v>2000</v>
      </c>
      <c r="K23" s="9"/>
      <c r="L23" s="9">
        <f>J23</f>
        <v>2000</v>
      </c>
      <c r="M23" s="9"/>
      <c r="N23" s="9"/>
      <c r="O23" s="9">
        <f>J23</f>
        <v>2000</v>
      </c>
      <c r="P23" s="9"/>
      <c r="Q23" s="9"/>
      <c r="R23" s="9"/>
      <c r="S23" s="9"/>
      <c r="T23" s="9"/>
      <c r="U23" s="9"/>
      <c r="V23" s="9"/>
    </row>
    <row r="24" spans="4:22">
      <c r="E24" t="s">
        <v>167</v>
      </c>
      <c r="F24" s="1">
        <v>42659</v>
      </c>
      <c r="G24" t="s">
        <v>168</v>
      </c>
      <c r="J24" s="9">
        <v>488.49</v>
      </c>
      <c r="K24" s="9"/>
      <c r="L24" s="9"/>
      <c r="M24" s="9"/>
      <c r="N24" s="9"/>
      <c r="O24" s="9">
        <f>J24</f>
        <v>488.49</v>
      </c>
      <c r="P24" s="9"/>
      <c r="Q24" s="9"/>
      <c r="R24" s="9"/>
      <c r="S24" s="9"/>
      <c r="T24" s="9"/>
      <c r="U24" s="9"/>
      <c r="V24" s="9"/>
    </row>
    <row r="25" spans="4:22"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</row>
    <row r="26" spans="4:22"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</row>
    <row r="27" spans="4:22">
      <c r="F27" s="1">
        <v>42646</v>
      </c>
      <c r="G27" t="s">
        <v>159</v>
      </c>
      <c r="H27" t="s">
        <v>169</v>
      </c>
      <c r="J27" s="9">
        <v>151.1</v>
      </c>
      <c r="K27" s="9"/>
      <c r="L27" s="9"/>
      <c r="M27" s="9"/>
      <c r="N27" s="9"/>
      <c r="O27" s="9"/>
      <c r="P27" s="9"/>
      <c r="Q27" s="9"/>
      <c r="R27" s="9"/>
      <c r="S27" s="9"/>
      <c r="T27" s="9">
        <f>J27</f>
        <v>151.1</v>
      </c>
      <c r="U27" s="9"/>
      <c r="V27" s="9"/>
    </row>
    <row r="28" spans="4:22">
      <c r="F28" s="1">
        <v>42646</v>
      </c>
      <c r="G28" t="s">
        <v>159</v>
      </c>
      <c r="H28" t="s">
        <v>161</v>
      </c>
      <c r="J28" s="9">
        <v>569.1</v>
      </c>
      <c r="K28" s="9"/>
      <c r="L28" s="9"/>
      <c r="M28" s="9"/>
      <c r="N28" s="9"/>
      <c r="O28" s="9"/>
      <c r="P28" s="9"/>
      <c r="Q28" s="9"/>
      <c r="R28" s="9"/>
      <c r="S28" s="9">
        <f>J28</f>
        <v>569.1</v>
      </c>
      <c r="T28" s="9"/>
      <c r="U28" s="9"/>
      <c r="V28" s="9"/>
    </row>
    <row r="29" spans="4:22">
      <c r="D29" t="s">
        <v>158</v>
      </c>
      <c r="F29" s="1">
        <v>42650</v>
      </c>
      <c r="G29" t="s">
        <v>159</v>
      </c>
      <c r="H29" t="s">
        <v>162</v>
      </c>
      <c r="J29" s="9">
        <v>42.84</v>
      </c>
      <c r="K29" s="9"/>
      <c r="L29" s="9"/>
      <c r="M29" s="9"/>
      <c r="N29" s="9"/>
      <c r="O29" s="9"/>
      <c r="P29" s="9"/>
      <c r="Q29" s="9"/>
      <c r="R29" s="9"/>
      <c r="S29" s="9"/>
      <c r="T29" s="9"/>
      <c r="U29" s="9">
        <f>J29</f>
        <v>42.84</v>
      </c>
      <c r="V29" s="9"/>
    </row>
    <row r="30" spans="4:22">
      <c r="F30" s="1">
        <v>42654</v>
      </c>
      <c r="G30" t="s">
        <v>170</v>
      </c>
      <c r="H30" t="s">
        <v>101</v>
      </c>
      <c r="J30" s="9">
        <v>930.91</v>
      </c>
      <c r="K30" s="9"/>
      <c r="L30" s="9"/>
      <c r="M30" s="9"/>
      <c r="N30" s="9">
        <f>J30</f>
        <v>930.91</v>
      </c>
      <c r="O30" s="9"/>
      <c r="P30" s="9"/>
      <c r="Q30" s="9"/>
      <c r="R30" s="9"/>
      <c r="S30" s="9"/>
      <c r="T30" s="9"/>
      <c r="U30" s="9"/>
      <c r="V30" s="9"/>
    </row>
    <row r="31" spans="4:22">
      <c r="F31" s="1">
        <v>42661</v>
      </c>
      <c r="G31" t="s">
        <v>159</v>
      </c>
      <c r="H31" t="s">
        <v>169</v>
      </c>
      <c r="J31" s="9">
        <v>292.42</v>
      </c>
      <c r="K31" s="9"/>
      <c r="L31" s="9"/>
      <c r="M31" s="9"/>
      <c r="N31" s="9"/>
      <c r="O31" s="9"/>
      <c r="P31" s="9"/>
      <c r="Q31" s="9"/>
      <c r="R31" s="9"/>
      <c r="S31" s="9"/>
      <c r="T31" s="9">
        <f>J31</f>
        <v>292.42</v>
      </c>
      <c r="U31" s="9"/>
      <c r="V31" s="9"/>
    </row>
    <row r="32" spans="4:22">
      <c r="F32" s="1">
        <v>42661</v>
      </c>
      <c r="G32" t="s">
        <v>159</v>
      </c>
      <c r="H32" t="s">
        <v>161</v>
      </c>
      <c r="J32" s="9">
        <v>960</v>
      </c>
      <c r="K32" s="9"/>
      <c r="L32" s="9"/>
      <c r="M32" s="9"/>
      <c r="N32" s="9"/>
      <c r="O32" s="9"/>
      <c r="P32" s="9"/>
      <c r="Q32" s="9"/>
      <c r="R32" s="9"/>
      <c r="S32" s="9">
        <f>J32</f>
        <v>960</v>
      </c>
      <c r="T32" s="9"/>
      <c r="U32" s="9"/>
      <c r="V32" s="9"/>
    </row>
    <row r="33" spans="4:22">
      <c r="F33" s="1">
        <v>42671</v>
      </c>
      <c r="G33" t="s">
        <v>171</v>
      </c>
      <c r="H33" t="s">
        <v>162</v>
      </c>
      <c r="J33" s="9">
        <v>67.84</v>
      </c>
      <c r="K33" s="9"/>
      <c r="L33" s="9"/>
      <c r="M33" s="9"/>
      <c r="N33" s="9"/>
      <c r="O33" s="9"/>
      <c r="P33" s="9"/>
      <c r="Q33" s="9"/>
      <c r="R33" s="9"/>
      <c r="S33" s="9"/>
      <c r="T33" s="9"/>
      <c r="U33" s="9">
        <f>J33</f>
        <v>67.84</v>
      </c>
      <c r="V33" s="9"/>
    </row>
    <row r="34" spans="4:22"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</row>
    <row r="35" spans="4:22"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</row>
    <row r="36" spans="4:22">
      <c r="D36" t="s">
        <v>172</v>
      </c>
      <c r="F36" s="1">
        <v>42646</v>
      </c>
      <c r="G36" t="s">
        <v>173</v>
      </c>
      <c r="H36" t="s">
        <v>137</v>
      </c>
      <c r="I36" s="2"/>
      <c r="J36" s="9">
        <v>5</v>
      </c>
      <c r="K36" s="9"/>
      <c r="L36" s="9"/>
      <c r="M36" s="9"/>
      <c r="N36" s="9"/>
      <c r="O36" s="9"/>
      <c r="P36" s="9"/>
      <c r="Q36" s="9"/>
      <c r="R36" s="9"/>
      <c r="S36" s="9"/>
      <c r="T36" s="9"/>
      <c r="U36" s="9">
        <v>5</v>
      </c>
      <c r="V36" s="9"/>
    </row>
    <row r="37" spans="4:22">
      <c r="F37" s="1">
        <v>42646</v>
      </c>
      <c r="G37" t="s">
        <v>174</v>
      </c>
      <c r="H37" t="s">
        <v>175</v>
      </c>
      <c r="J37" s="9">
        <v>14.21</v>
      </c>
      <c r="K37" s="9"/>
      <c r="L37" s="9"/>
      <c r="M37" s="9"/>
      <c r="N37" s="9"/>
      <c r="O37" s="9">
        <v>14.21</v>
      </c>
      <c r="P37" s="9"/>
      <c r="Q37" s="9"/>
      <c r="R37" s="9"/>
      <c r="S37" s="9"/>
      <c r="T37" s="9"/>
      <c r="U37" s="9"/>
      <c r="V37" s="9"/>
    </row>
    <row r="38" spans="4:22">
      <c r="F38" s="1">
        <v>42647</v>
      </c>
      <c r="G38" t="s">
        <v>131</v>
      </c>
      <c r="J38" s="9">
        <v>66.069999999999993</v>
      </c>
      <c r="K38" s="9"/>
      <c r="L38" s="9"/>
      <c r="M38" s="9"/>
      <c r="N38" s="9"/>
      <c r="O38" s="9">
        <f>J38</f>
        <v>66.069999999999993</v>
      </c>
      <c r="P38" s="9"/>
      <c r="Q38" s="9"/>
      <c r="R38" s="9"/>
      <c r="S38" s="9"/>
      <c r="T38" s="9"/>
      <c r="U38" s="9"/>
      <c r="V38" s="9"/>
    </row>
    <row r="39" spans="4:22">
      <c r="F39" s="1">
        <v>42654</v>
      </c>
      <c r="G39" t="s">
        <v>176</v>
      </c>
      <c r="H39" t="s">
        <v>66</v>
      </c>
      <c r="J39" s="9">
        <v>173.42</v>
      </c>
      <c r="K39" s="9"/>
      <c r="L39" s="9"/>
      <c r="M39" s="9"/>
      <c r="N39" s="9"/>
      <c r="O39" s="9"/>
      <c r="P39" s="9"/>
      <c r="Q39" s="9">
        <f>J39</f>
        <v>173.42</v>
      </c>
      <c r="R39" s="9"/>
      <c r="S39" s="9"/>
      <c r="T39" s="9"/>
      <c r="U39" s="9"/>
      <c r="V39" s="9"/>
    </row>
    <row r="40" spans="4:22">
      <c r="F40" s="1">
        <v>42660</v>
      </c>
      <c r="G40" t="s">
        <v>177</v>
      </c>
      <c r="H40" t="s">
        <v>178</v>
      </c>
      <c r="J40" s="9">
        <v>143.21</v>
      </c>
      <c r="K40" s="9"/>
      <c r="L40" s="9"/>
      <c r="M40" s="9"/>
      <c r="N40" s="9"/>
      <c r="O40" s="9">
        <f>J40</f>
        <v>143.21</v>
      </c>
      <c r="P40" s="9"/>
      <c r="Q40" s="9"/>
      <c r="R40" s="9"/>
      <c r="S40" s="9"/>
      <c r="T40" s="9"/>
      <c r="U40" s="9"/>
      <c r="V40" s="9"/>
    </row>
    <row r="41" spans="4:22">
      <c r="F41" s="1">
        <v>42664</v>
      </c>
      <c r="G41" t="s">
        <v>179</v>
      </c>
      <c r="H41" t="s">
        <v>180</v>
      </c>
      <c r="J41" s="9">
        <v>101.66</v>
      </c>
      <c r="K41" s="9"/>
      <c r="L41" s="9"/>
      <c r="M41" s="9"/>
      <c r="N41" s="9">
        <v>101.66</v>
      </c>
      <c r="O41" s="9"/>
      <c r="P41" s="9"/>
      <c r="Q41" s="9"/>
      <c r="R41" s="9"/>
      <c r="S41" s="9"/>
      <c r="T41" s="9"/>
      <c r="U41" s="9"/>
      <c r="V41" s="9"/>
    </row>
    <row r="42" spans="4:22">
      <c r="F42" s="1">
        <v>42664</v>
      </c>
      <c r="G42" t="s">
        <v>181</v>
      </c>
      <c r="H42" t="s">
        <v>178</v>
      </c>
      <c r="J42" s="9">
        <f>30.65+16.41</f>
        <v>47.06</v>
      </c>
      <c r="K42" s="9"/>
      <c r="L42" s="9"/>
      <c r="M42" s="9"/>
      <c r="N42" s="9"/>
      <c r="O42" s="9">
        <f>J42</f>
        <v>47.06</v>
      </c>
      <c r="P42" s="9"/>
      <c r="Q42" s="9"/>
      <c r="R42" s="9"/>
      <c r="S42" s="9"/>
      <c r="T42" s="9"/>
      <c r="U42" s="9"/>
      <c r="V42" s="9"/>
    </row>
    <row r="43" spans="4:22">
      <c r="F43" s="1">
        <v>42667</v>
      </c>
      <c r="G43" t="s">
        <v>182</v>
      </c>
      <c r="H43" t="s">
        <v>183</v>
      </c>
      <c r="J43" s="9">
        <v>939.6</v>
      </c>
      <c r="K43" s="9"/>
      <c r="L43" s="9"/>
      <c r="M43" s="9"/>
      <c r="N43" s="9">
        <f>J43</f>
        <v>939.6</v>
      </c>
      <c r="O43" s="9"/>
      <c r="P43" s="9"/>
      <c r="Q43" s="9"/>
      <c r="R43" s="9"/>
      <c r="S43" s="9"/>
      <c r="T43" s="9"/>
      <c r="U43" s="9"/>
      <c r="V43" s="9"/>
    </row>
    <row r="44" spans="4:22">
      <c r="F44" s="1">
        <v>42667</v>
      </c>
      <c r="G44" t="s">
        <v>184</v>
      </c>
      <c r="H44" t="s">
        <v>185</v>
      </c>
      <c r="J44" s="9">
        <v>92.34</v>
      </c>
      <c r="K44" s="9"/>
      <c r="L44" s="9"/>
      <c r="M44" s="9"/>
      <c r="N44" s="9"/>
      <c r="O44" s="9">
        <f>J44</f>
        <v>92.34</v>
      </c>
      <c r="P44" s="9"/>
      <c r="Q44" s="9"/>
      <c r="R44" s="9"/>
      <c r="S44" s="9"/>
      <c r="T44" s="9"/>
      <c r="U44" s="9"/>
      <c r="V44" s="9"/>
    </row>
    <row r="45" spans="4:22">
      <c r="J45" s="9">
        <v>108.45</v>
      </c>
      <c r="K45" s="9"/>
      <c r="L45" s="9"/>
      <c r="M45" s="9"/>
      <c r="N45" s="9"/>
      <c r="O45" s="9">
        <f>J45</f>
        <v>108.45</v>
      </c>
      <c r="P45" s="9"/>
      <c r="Q45" s="9"/>
      <c r="R45" s="9"/>
      <c r="S45" s="9"/>
      <c r="T45" s="9"/>
      <c r="U45" s="9"/>
      <c r="V45" s="9"/>
    </row>
    <row r="46" spans="4:22">
      <c r="G46" t="s">
        <v>186</v>
      </c>
      <c r="H46" t="s">
        <v>187</v>
      </c>
      <c r="J46" s="9">
        <v>84.24</v>
      </c>
      <c r="K46" s="9"/>
      <c r="L46" s="9"/>
      <c r="M46" s="9"/>
      <c r="N46" s="9">
        <f>J46</f>
        <v>84.24</v>
      </c>
      <c r="O46" s="9"/>
      <c r="P46" s="9"/>
      <c r="Q46" s="9"/>
      <c r="R46" s="9"/>
      <c r="S46" s="9"/>
      <c r="T46" s="9"/>
      <c r="U46" s="9"/>
      <c r="V46" s="9"/>
    </row>
    <row r="47" spans="4:22">
      <c r="G47" t="s">
        <v>188</v>
      </c>
      <c r="J47" s="9">
        <v>100.73</v>
      </c>
      <c r="K47" s="9"/>
      <c r="L47" s="9"/>
      <c r="M47" s="9"/>
      <c r="N47" s="9">
        <f>J47</f>
        <v>100.73</v>
      </c>
      <c r="O47" s="9"/>
      <c r="P47" s="9"/>
      <c r="Q47" s="9"/>
      <c r="R47" s="9"/>
      <c r="S47" s="9"/>
      <c r="T47" s="9"/>
      <c r="U47" s="9"/>
      <c r="V47" s="9"/>
    </row>
    <row r="48" spans="4:22">
      <c r="G48" t="s">
        <v>189</v>
      </c>
      <c r="H48" t="s">
        <v>190</v>
      </c>
      <c r="J48" s="9">
        <v>8.99</v>
      </c>
      <c r="K48" s="9"/>
      <c r="L48" s="9"/>
      <c r="M48" s="9"/>
      <c r="N48" s="9"/>
      <c r="O48" s="9">
        <f>J48</f>
        <v>8.99</v>
      </c>
      <c r="P48" s="9"/>
      <c r="Q48" s="9"/>
      <c r="R48" s="9"/>
      <c r="S48" s="9"/>
      <c r="T48" s="9"/>
      <c r="U48" s="9"/>
      <c r="V48" s="9"/>
    </row>
    <row r="49" spans="7:22">
      <c r="G49" t="s">
        <v>191</v>
      </c>
      <c r="J49" s="9">
        <v>13.16</v>
      </c>
      <c r="K49" s="9"/>
      <c r="L49" s="9"/>
      <c r="M49" s="9"/>
      <c r="N49" s="9"/>
      <c r="O49" s="9"/>
      <c r="P49" s="9"/>
      <c r="Q49" s="9"/>
      <c r="R49" s="9"/>
      <c r="S49" s="9"/>
      <c r="T49" s="9"/>
      <c r="U49" s="9">
        <f>J49</f>
        <v>13.16</v>
      </c>
      <c r="V49" s="9"/>
    </row>
    <row r="50" spans="7:22">
      <c r="G50" t="s">
        <v>192</v>
      </c>
      <c r="J50" s="9">
        <v>121.56</v>
      </c>
      <c r="K50" s="9"/>
      <c r="L50" s="9"/>
      <c r="M50" s="9"/>
      <c r="N50" s="9"/>
      <c r="O50" s="9">
        <f>J50</f>
        <v>121.56</v>
      </c>
      <c r="P50" s="9"/>
      <c r="Q50" s="9"/>
      <c r="R50" s="9"/>
      <c r="S50" s="9"/>
      <c r="T50" s="9"/>
      <c r="U50" s="9"/>
      <c r="V50" s="9"/>
    </row>
    <row r="51" spans="7:22">
      <c r="G51" t="s">
        <v>193</v>
      </c>
      <c r="J51" s="9">
        <v>96.36</v>
      </c>
      <c r="K51" s="9"/>
      <c r="L51" s="9"/>
      <c r="M51" s="9"/>
      <c r="N51" s="9"/>
      <c r="O51" s="9">
        <f>J51</f>
        <v>96.36</v>
      </c>
      <c r="P51" s="9"/>
      <c r="Q51" s="9"/>
      <c r="R51" s="9"/>
      <c r="S51" s="9"/>
      <c r="T51" s="9"/>
      <c r="U51" s="9"/>
      <c r="V51" s="9"/>
    </row>
    <row r="52" spans="7:22"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</row>
    <row r="53" spans="7:22">
      <c r="J53" s="9">
        <f>SUM(J23:J51)</f>
        <v>7618.7599999999993</v>
      </c>
      <c r="K53" s="9">
        <f t="shared" ref="K53:V53" si="0">SUM(K23:K51)</f>
        <v>0</v>
      </c>
      <c r="L53" s="9">
        <f t="shared" si="0"/>
        <v>2000</v>
      </c>
      <c r="M53" s="9">
        <f t="shared" si="0"/>
        <v>0</v>
      </c>
      <c r="N53" s="9">
        <f t="shared" si="0"/>
        <v>2157.14</v>
      </c>
      <c r="O53" s="9">
        <f t="shared" si="0"/>
        <v>3186.74</v>
      </c>
      <c r="P53" s="9">
        <f t="shared" si="0"/>
        <v>0</v>
      </c>
      <c r="Q53" s="9">
        <f t="shared" si="0"/>
        <v>173.42</v>
      </c>
      <c r="R53" s="9">
        <f t="shared" si="0"/>
        <v>0</v>
      </c>
      <c r="S53" s="9">
        <f t="shared" si="0"/>
        <v>1529.1</v>
      </c>
      <c r="T53" s="9">
        <f t="shared" si="0"/>
        <v>443.52</v>
      </c>
      <c r="U53" s="9">
        <f t="shared" si="0"/>
        <v>128.84</v>
      </c>
      <c r="V53" s="9">
        <f t="shared" si="0"/>
        <v>0</v>
      </c>
    </row>
  </sheetData>
  <phoneticPr fontId="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88D18-7D82-4536-8CE0-D6DF84C66E93}">
  <dimension ref="D4:U50"/>
  <sheetViews>
    <sheetView topLeftCell="A19" workbookViewId="0">
      <selection activeCell="H44" sqref="H44"/>
    </sheetView>
  </sheetViews>
  <sheetFormatPr defaultRowHeight="15"/>
  <cols>
    <col min="5" max="5" width="11.28515625" bestFit="1" customWidth="1"/>
    <col min="6" max="6" width="10.7109375" bestFit="1" customWidth="1"/>
    <col min="7" max="7" width="18.85546875" bestFit="1" customWidth="1"/>
    <col min="8" max="8" width="18" bestFit="1" customWidth="1"/>
    <col min="9" max="9" width="11.28515625" style="6" bestFit="1" customWidth="1"/>
    <col min="10" max="10" width="10.5703125" style="9" bestFit="1" customWidth="1"/>
    <col min="12" max="12" width="6.140625" customWidth="1"/>
    <col min="13" max="13" width="10.85546875" bestFit="1" customWidth="1"/>
    <col min="14" max="15" width="10.85546875" customWidth="1"/>
    <col min="16" max="16" width="10.5703125" bestFit="1" customWidth="1"/>
    <col min="17" max="17" width="10.85546875" bestFit="1" customWidth="1"/>
    <col min="18" max="18" width="12.28515625" bestFit="1" customWidth="1"/>
    <col min="19" max="19" width="10.5703125" bestFit="1" customWidth="1"/>
    <col min="21" max="21" width="12.28515625" bestFit="1" customWidth="1"/>
  </cols>
  <sheetData>
    <row r="4" spans="7:12">
      <c r="G4" t="s">
        <v>19</v>
      </c>
      <c r="I4" s="6">
        <f>SUM(I13:I19)</f>
        <v>2406.3399999999997</v>
      </c>
      <c r="L4" s="4"/>
    </row>
    <row r="5" spans="7:12">
      <c r="G5" t="s">
        <v>20</v>
      </c>
      <c r="I5" s="2"/>
      <c r="J5" s="9">
        <f>SUM(J13:J19)</f>
        <v>2205.2200000000003</v>
      </c>
      <c r="L5" s="5"/>
    </row>
    <row r="6" spans="7:12">
      <c r="I6" s="2"/>
      <c r="L6" s="5"/>
    </row>
    <row r="7" spans="7:12">
      <c r="G7" t="s">
        <v>21</v>
      </c>
      <c r="I7" s="5">
        <f>I4-J5</f>
        <v>201.11999999999944</v>
      </c>
      <c r="L7" s="5"/>
    </row>
    <row r="12" spans="7:12">
      <c r="G12" t="s">
        <v>164</v>
      </c>
      <c r="I12" s="6">
        <v>100</v>
      </c>
    </row>
    <row r="13" spans="7:12">
      <c r="G13" t="s">
        <v>140</v>
      </c>
      <c r="I13" s="6">
        <v>2236.41</v>
      </c>
    </row>
    <row r="14" spans="7:12">
      <c r="G14" t="s">
        <v>194</v>
      </c>
      <c r="I14" s="6">
        <v>100</v>
      </c>
    </row>
    <row r="15" spans="7:12">
      <c r="G15" t="s">
        <v>55</v>
      </c>
      <c r="J15" s="9">
        <v>1830.47</v>
      </c>
    </row>
    <row r="16" spans="7:12">
      <c r="G16" t="s">
        <v>56</v>
      </c>
      <c r="I16" s="6">
        <v>69.930000000000007</v>
      </c>
    </row>
    <row r="17" spans="5:21">
      <c r="G17" t="s">
        <v>57</v>
      </c>
      <c r="J17" s="9">
        <f>J29</f>
        <v>71.180000000000007</v>
      </c>
    </row>
    <row r="18" spans="5:21">
      <c r="G18" t="s">
        <v>58</v>
      </c>
      <c r="J18" s="9">
        <v>6.57</v>
      </c>
    </row>
    <row r="19" spans="5:21">
      <c r="G19" t="s">
        <v>141</v>
      </c>
      <c r="J19" s="9">
        <v>297</v>
      </c>
    </row>
    <row r="23" spans="5:21">
      <c r="G23" s="8" t="s">
        <v>60</v>
      </c>
      <c r="H23" s="8" t="s">
        <v>61</v>
      </c>
      <c r="I23" s="7"/>
      <c r="J23" s="10"/>
      <c r="K23" s="10"/>
      <c r="L23" s="8" t="s">
        <v>24</v>
      </c>
      <c r="M23" s="8" t="s">
        <v>62</v>
      </c>
      <c r="N23" s="8" t="s">
        <v>66</v>
      </c>
      <c r="O23" s="8" t="s">
        <v>180</v>
      </c>
      <c r="P23" s="8" t="s">
        <v>64</v>
      </c>
      <c r="Q23" s="8" t="s">
        <v>65</v>
      </c>
      <c r="R23" s="8" t="s">
        <v>67</v>
      </c>
      <c r="S23" s="8" t="s">
        <v>130</v>
      </c>
      <c r="T23" s="8" t="s">
        <v>68</v>
      </c>
      <c r="U23" s="8" t="s">
        <v>69</v>
      </c>
    </row>
    <row r="24" spans="5:21">
      <c r="E24" t="s">
        <v>195</v>
      </c>
      <c r="F24" s="1">
        <v>42684</v>
      </c>
      <c r="G24" t="s">
        <v>168</v>
      </c>
      <c r="H24" t="s">
        <v>196</v>
      </c>
      <c r="J24" s="9">
        <v>97.88</v>
      </c>
      <c r="K24" s="9"/>
      <c r="L24" s="9"/>
      <c r="M24" s="9"/>
      <c r="N24" s="9"/>
      <c r="O24" s="9"/>
      <c r="P24" s="9">
        <f>J24</f>
        <v>97.88</v>
      </c>
      <c r="Q24" s="9"/>
      <c r="R24" s="9"/>
      <c r="S24" s="9"/>
      <c r="T24" s="9"/>
      <c r="U24" s="9"/>
    </row>
    <row r="25" spans="5:21">
      <c r="E25" t="s">
        <v>197</v>
      </c>
      <c r="F25" s="1">
        <v>42689</v>
      </c>
      <c r="G25" t="s">
        <v>198</v>
      </c>
      <c r="H25" t="s">
        <v>145</v>
      </c>
      <c r="J25" s="9">
        <v>88.52</v>
      </c>
      <c r="K25" s="9"/>
      <c r="L25" s="9"/>
      <c r="M25" s="9"/>
      <c r="N25" s="9"/>
      <c r="O25" s="9"/>
      <c r="P25" s="9">
        <f>J25</f>
        <v>88.52</v>
      </c>
      <c r="Q25" s="9"/>
      <c r="R25" s="9"/>
      <c r="S25" s="9"/>
      <c r="T25" s="9"/>
      <c r="U25" s="9"/>
    </row>
    <row r="26" spans="5:21">
      <c r="E26" t="s">
        <v>199</v>
      </c>
      <c r="F26" s="1">
        <v>42689</v>
      </c>
      <c r="G26" t="s">
        <v>200</v>
      </c>
      <c r="H26" t="s">
        <v>201</v>
      </c>
      <c r="J26" s="9">
        <v>71.099999999999994</v>
      </c>
      <c r="K26" s="9"/>
      <c r="L26" s="9"/>
      <c r="M26" s="9"/>
      <c r="N26" s="9"/>
      <c r="O26" s="9"/>
      <c r="P26" s="9"/>
      <c r="Q26" s="9"/>
      <c r="R26" s="9"/>
      <c r="S26" s="9">
        <f>J26</f>
        <v>71.099999999999994</v>
      </c>
      <c r="T26" s="9"/>
      <c r="U26" s="9"/>
    </row>
    <row r="27" spans="5:21">
      <c r="E27" t="s">
        <v>202</v>
      </c>
      <c r="F27" s="1">
        <v>42689</v>
      </c>
      <c r="H27" t="s">
        <v>196</v>
      </c>
      <c r="J27" s="9">
        <v>230</v>
      </c>
      <c r="K27" s="9"/>
      <c r="L27" s="9"/>
      <c r="M27" s="9"/>
      <c r="N27" s="9"/>
      <c r="O27" s="9"/>
      <c r="P27" s="9">
        <f>J27</f>
        <v>230</v>
      </c>
      <c r="Q27" s="9"/>
      <c r="R27" s="9"/>
      <c r="S27" s="9"/>
      <c r="T27" s="9"/>
      <c r="U27" s="9"/>
    </row>
    <row r="28" spans="5:21">
      <c r="E28" t="s">
        <v>203</v>
      </c>
      <c r="F28" s="1">
        <v>42689</v>
      </c>
      <c r="G28" t="s">
        <v>204</v>
      </c>
      <c r="H28" t="s">
        <v>205</v>
      </c>
      <c r="J28" s="9">
        <v>366.67</v>
      </c>
      <c r="K28" s="9"/>
      <c r="L28" s="9"/>
      <c r="M28" s="9"/>
      <c r="N28" s="9"/>
      <c r="O28" s="9"/>
      <c r="P28" s="9"/>
      <c r="Q28" s="9"/>
      <c r="R28" s="9"/>
      <c r="S28" s="9">
        <f>J28</f>
        <v>366.67</v>
      </c>
      <c r="T28" s="9"/>
      <c r="U28" s="9"/>
    </row>
    <row r="29" spans="5:21">
      <c r="E29" t="s">
        <v>206</v>
      </c>
      <c r="F29" s="1">
        <v>42695</v>
      </c>
      <c r="G29" t="s">
        <v>200</v>
      </c>
      <c r="H29" t="s">
        <v>201</v>
      </c>
      <c r="J29" s="9">
        <v>71.180000000000007</v>
      </c>
      <c r="K29" s="9"/>
      <c r="L29" s="9"/>
      <c r="M29" s="9"/>
      <c r="N29" s="9"/>
      <c r="O29" s="9"/>
      <c r="P29" s="9"/>
      <c r="Q29" s="9"/>
      <c r="R29" s="9"/>
      <c r="S29" s="9">
        <f>J29</f>
        <v>71.180000000000007</v>
      </c>
      <c r="T29" s="9"/>
      <c r="U29" s="9"/>
    </row>
    <row r="30" spans="5:21">
      <c r="E30" t="s">
        <v>207</v>
      </c>
      <c r="F30" s="1"/>
      <c r="J30" s="9">
        <v>69</v>
      </c>
      <c r="K30" s="9"/>
      <c r="L30" s="9"/>
      <c r="M30" s="9"/>
      <c r="N30" s="9"/>
      <c r="O30" s="9"/>
      <c r="P30" s="9">
        <f>J30</f>
        <v>69</v>
      </c>
      <c r="Q30" s="9"/>
      <c r="R30" s="9"/>
      <c r="S30" s="9"/>
      <c r="T30" s="9"/>
      <c r="U30" s="9"/>
    </row>
    <row r="31" spans="5:21">
      <c r="E31" t="s">
        <v>208</v>
      </c>
      <c r="F31" s="1">
        <v>42697</v>
      </c>
      <c r="G31" t="s">
        <v>209</v>
      </c>
      <c r="H31" t="s">
        <v>210</v>
      </c>
      <c r="J31" s="9">
        <v>430</v>
      </c>
      <c r="K31" s="9"/>
      <c r="L31" s="9"/>
      <c r="M31" s="9"/>
      <c r="N31" s="9"/>
      <c r="O31" s="9"/>
      <c r="P31" s="9"/>
      <c r="Q31" s="9"/>
      <c r="R31" s="9"/>
      <c r="S31" s="9">
        <f>J31</f>
        <v>430</v>
      </c>
      <c r="T31" s="9"/>
      <c r="U31" s="9"/>
    </row>
    <row r="32" spans="5:21">
      <c r="F32" s="1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</row>
    <row r="33" spans="4:21">
      <c r="D33" t="s">
        <v>158</v>
      </c>
      <c r="F33" s="1">
        <v>42688</v>
      </c>
      <c r="G33" t="s">
        <v>211</v>
      </c>
      <c r="H33" t="s">
        <v>212</v>
      </c>
      <c r="J33" s="9">
        <v>930.91</v>
      </c>
      <c r="K33" s="9"/>
      <c r="L33" s="9"/>
      <c r="M33" s="9"/>
      <c r="N33" s="9"/>
      <c r="O33" s="9">
        <f>J33</f>
        <v>930.91</v>
      </c>
      <c r="P33" s="9"/>
      <c r="Q33" s="9"/>
      <c r="R33" s="9"/>
      <c r="S33" s="9"/>
      <c r="T33" s="9"/>
      <c r="U33" s="9"/>
    </row>
    <row r="34" spans="4:21">
      <c r="F34" s="1">
        <v>42690</v>
      </c>
      <c r="G34" t="s">
        <v>159</v>
      </c>
      <c r="H34" t="s">
        <v>169</v>
      </c>
      <c r="J34" s="9">
        <f>55.72+103.34</f>
        <v>159.06</v>
      </c>
      <c r="K34" s="9"/>
      <c r="L34" s="9"/>
      <c r="M34" s="9"/>
      <c r="N34" s="9"/>
      <c r="O34" s="9"/>
      <c r="P34" s="9"/>
      <c r="Q34" s="9"/>
      <c r="R34" s="9"/>
      <c r="S34" s="9">
        <f>J34</f>
        <v>159.06</v>
      </c>
      <c r="T34" s="9"/>
      <c r="U34" s="9"/>
    </row>
    <row r="35" spans="4:21">
      <c r="F35" s="1">
        <v>42690</v>
      </c>
      <c r="G35" t="s">
        <v>159</v>
      </c>
      <c r="H35" t="s">
        <v>34</v>
      </c>
      <c r="J35" s="9">
        <v>673.56</v>
      </c>
      <c r="K35" s="9"/>
      <c r="L35" s="9"/>
      <c r="M35" s="9"/>
      <c r="N35" s="9"/>
      <c r="O35" s="9"/>
      <c r="P35" s="9"/>
      <c r="Q35" s="9"/>
      <c r="R35" s="9">
        <f>J35</f>
        <v>673.56</v>
      </c>
      <c r="S35" s="9"/>
      <c r="T35" s="9"/>
      <c r="U35" s="9"/>
    </row>
    <row r="36" spans="4:21">
      <c r="F36" s="1">
        <v>42699</v>
      </c>
      <c r="G36" t="s">
        <v>159</v>
      </c>
      <c r="H36" t="s">
        <v>213</v>
      </c>
      <c r="J36" s="9">
        <v>91.14</v>
      </c>
      <c r="K36" s="9"/>
      <c r="L36" s="9"/>
      <c r="M36" s="9"/>
      <c r="N36" s="9"/>
      <c r="O36" s="9"/>
      <c r="P36" s="9"/>
      <c r="Q36" s="9"/>
      <c r="R36" s="9"/>
      <c r="S36" s="9"/>
      <c r="T36" s="9">
        <f>J36</f>
        <v>91.14</v>
      </c>
      <c r="U36" s="9"/>
    </row>
    <row r="37" spans="4:21">
      <c r="G37" t="s">
        <v>214</v>
      </c>
      <c r="J37" s="9">
        <v>98</v>
      </c>
      <c r="K37" s="9"/>
      <c r="L37" s="9"/>
      <c r="M37" s="9"/>
      <c r="N37" s="9"/>
      <c r="O37" s="9"/>
      <c r="P37" s="9"/>
      <c r="Q37" s="9"/>
      <c r="R37" s="9"/>
      <c r="S37" s="9"/>
      <c r="T37" s="9"/>
      <c r="U37" s="9">
        <f>J37</f>
        <v>98</v>
      </c>
    </row>
    <row r="38" spans="4:21">
      <c r="F38" s="1"/>
      <c r="I38" s="2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</row>
    <row r="39" spans="4:21"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</row>
    <row r="40" spans="4:21">
      <c r="D40" t="s">
        <v>215</v>
      </c>
      <c r="F40" s="1">
        <v>42675</v>
      </c>
      <c r="G40" t="s">
        <v>216</v>
      </c>
      <c r="J40" s="9">
        <v>5</v>
      </c>
      <c r="K40" s="9"/>
      <c r="L40" s="9"/>
      <c r="M40" s="9"/>
      <c r="N40" s="9"/>
      <c r="O40" s="9"/>
      <c r="P40" s="9"/>
      <c r="Q40" s="9"/>
      <c r="R40" s="9"/>
      <c r="S40" s="9"/>
      <c r="T40" s="9">
        <f>J40</f>
        <v>5</v>
      </c>
      <c r="U40" s="9"/>
    </row>
    <row r="41" spans="4:21">
      <c r="F41" s="1">
        <v>42677</v>
      </c>
      <c r="G41" t="s">
        <v>192</v>
      </c>
      <c r="J41" s="9">
        <v>91.18</v>
      </c>
      <c r="K41" s="9"/>
      <c r="L41" s="9"/>
      <c r="M41" s="9"/>
      <c r="N41" s="9"/>
      <c r="O41" s="9"/>
      <c r="P41" s="9">
        <f>J41</f>
        <v>91.18</v>
      </c>
      <c r="Q41" s="9"/>
      <c r="R41" s="9"/>
      <c r="S41" s="9"/>
      <c r="T41" s="9"/>
      <c r="U41" s="9"/>
    </row>
    <row r="42" spans="4:21">
      <c r="F42" s="1">
        <v>42677</v>
      </c>
      <c r="G42" t="s">
        <v>217</v>
      </c>
      <c r="J42" s="9">
        <v>59.36</v>
      </c>
      <c r="K42" s="9"/>
      <c r="L42" s="9"/>
      <c r="M42" s="9"/>
      <c r="N42" s="9"/>
      <c r="O42" s="9"/>
      <c r="P42" s="9">
        <f>J42</f>
        <v>59.36</v>
      </c>
      <c r="Q42" s="9"/>
      <c r="R42" s="9"/>
      <c r="S42" s="9"/>
      <c r="T42" s="9"/>
      <c r="U42" s="9"/>
    </row>
    <row r="43" spans="4:21">
      <c r="F43" s="1">
        <v>42681</v>
      </c>
      <c r="G43" t="s">
        <v>218</v>
      </c>
      <c r="J43" s="9">
        <v>476.53</v>
      </c>
      <c r="K43" s="9"/>
      <c r="L43" s="9"/>
      <c r="M43" s="9"/>
      <c r="N43" s="9"/>
      <c r="O43" s="9">
        <f>J43</f>
        <v>476.53</v>
      </c>
      <c r="P43" s="9"/>
      <c r="Q43" s="9"/>
      <c r="R43" s="9"/>
      <c r="S43" s="9"/>
      <c r="T43" s="9"/>
      <c r="U43" s="9"/>
    </row>
    <row r="44" spans="4:21">
      <c r="F44" s="1">
        <v>42681</v>
      </c>
      <c r="G44" t="s">
        <v>192</v>
      </c>
      <c r="J44" s="9">
        <v>130.33000000000001</v>
      </c>
      <c r="K44" s="9"/>
      <c r="L44" s="9"/>
      <c r="M44" s="9"/>
      <c r="N44" s="9"/>
      <c r="O44" s="9"/>
      <c r="P44" s="9">
        <f>J44</f>
        <v>130.33000000000001</v>
      </c>
      <c r="Q44" s="9"/>
      <c r="R44" s="9"/>
      <c r="S44" s="9"/>
      <c r="T44" s="9"/>
      <c r="U44" s="9"/>
    </row>
    <row r="45" spans="4:21">
      <c r="F45" s="1">
        <v>42683</v>
      </c>
      <c r="G45" t="s">
        <v>219</v>
      </c>
      <c r="H45" t="s">
        <v>220</v>
      </c>
      <c r="J45" s="9">
        <v>173.35</v>
      </c>
      <c r="K45" s="9"/>
      <c r="L45" s="9"/>
      <c r="M45" s="9"/>
      <c r="N45" s="9">
        <f>J45</f>
        <v>173.35</v>
      </c>
      <c r="O45" s="9"/>
      <c r="P45" s="9"/>
      <c r="Q45" s="9"/>
      <c r="R45" s="9"/>
      <c r="S45" s="9"/>
      <c r="T45" s="9"/>
      <c r="U45" s="9"/>
    </row>
    <row r="46" spans="4:21">
      <c r="F46" s="1">
        <v>42681</v>
      </c>
      <c r="G46" t="s">
        <v>192</v>
      </c>
      <c r="J46" s="9">
        <v>284.99</v>
      </c>
      <c r="K46" s="9"/>
      <c r="L46" s="9"/>
      <c r="M46" s="9"/>
      <c r="N46" s="9"/>
      <c r="O46" s="9"/>
      <c r="P46" s="9">
        <f>J46</f>
        <v>284.99</v>
      </c>
      <c r="Q46" s="9"/>
      <c r="R46" s="9"/>
      <c r="S46" s="9"/>
      <c r="T46" s="9"/>
      <c r="U46" s="9"/>
    </row>
    <row r="47" spans="4:21">
      <c r="F47" s="1">
        <v>42681</v>
      </c>
      <c r="G47" t="s">
        <v>221</v>
      </c>
      <c r="J47" s="9">
        <v>155.54</v>
      </c>
      <c r="K47" s="9"/>
      <c r="L47" s="9"/>
      <c r="M47" s="9"/>
      <c r="N47" s="9"/>
      <c r="O47" s="9"/>
      <c r="P47" s="9">
        <f>J47</f>
        <v>155.54</v>
      </c>
      <c r="Q47" s="9"/>
      <c r="R47" s="9"/>
      <c r="S47" s="9"/>
      <c r="T47" s="9"/>
      <c r="U47" s="9"/>
    </row>
    <row r="48" spans="4:21">
      <c r="F48" s="1">
        <v>42681</v>
      </c>
      <c r="G48" t="s">
        <v>222</v>
      </c>
      <c r="J48" s="9">
        <v>79.95</v>
      </c>
      <c r="K48" s="9"/>
      <c r="L48" s="9"/>
      <c r="M48" s="9"/>
      <c r="N48" s="9"/>
      <c r="O48" s="9"/>
      <c r="P48" s="9"/>
      <c r="Q48" s="9"/>
      <c r="R48" s="9"/>
      <c r="S48" s="9">
        <f>J48</f>
        <v>79.95</v>
      </c>
      <c r="T48" s="9"/>
      <c r="U48" s="9"/>
    </row>
    <row r="49" spans="6:21">
      <c r="F49" s="1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</row>
    <row r="50" spans="6:21">
      <c r="J50" s="9">
        <f>SUM(J24:J48)</f>
        <v>4833.25</v>
      </c>
      <c r="K50" s="9">
        <f t="shared" ref="K50:U50" si="0">SUM(K24:K48)</f>
        <v>0</v>
      </c>
      <c r="L50" s="9">
        <f t="shared" si="0"/>
        <v>0</v>
      </c>
      <c r="M50" s="9">
        <f t="shared" si="0"/>
        <v>0</v>
      </c>
      <c r="N50" s="9">
        <f t="shared" si="0"/>
        <v>173.35</v>
      </c>
      <c r="O50" s="9">
        <f t="shared" si="0"/>
        <v>1407.44</v>
      </c>
      <c r="P50" s="9">
        <f t="shared" si="0"/>
        <v>1206.8</v>
      </c>
      <c r="Q50" s="9">
        <f t="shared" si="0"/>
        <v>0</v>
      </c>
      <c r="R50" s="9">
        <f t="shared" si="0"/>
        <v>673.56</v>
      </c>
      <c r="S50" s="9">
        <f t="shared" si="0"/>
        <v>1177.96</v>
      </c>
      <c r="T50" s="9">
        <f t="shared" si="0"/>
        <v>96.14</v>
      </c>
      <c r="U50" s="9">
        <f t="shared" si="0"/>
        <v>98</v>
      </c>
    </row>
  </sheetData>
  <phoneticPr fontId="3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1C99B-F95E-4093-B97E-01E1D7034AA2}">
  <dimension ref="D4:T44"/>
  <sheetViews>
    <sheetView topLeftCell="A13" workbookViewId="0">
      <selection activeCell="C30" sqref="C30"/>
    </sheetView>
  </sheetViews>
  <sheetFormatPr defaultRowHeight="15"/>
  <cols>
    <col min="5" max="5" width="11.28515625" bestFit="1" customWidth="1"/>
    <col min="6" max="6" width="10.7109375" bestFit="1" customWidth="1"/>
    <col min="7" max="7" width="18.85546875" bestFit="1" customWidth="1"/>
    <col min="8" max="8" width="18" bestFit="1" customWidth="1"/>
    <col min="9" max="9" width="11.28515625" style="6" bestFit="1" customWidth="1"/>
    <col min="10" max="10" width="10.5703125" style="9" bestFit="1" customWidth="1"/>
    <col min="12" max="12" width="6.140625" bestFit="1" customWidth="1"/>
    <col min="13" max="13" width="10.85546875" bestFit="1" customWidth="1"/>
    <col min="14" max="14" width="10.85546875" customWidth="1"/>
    <col min="15" max="15" width="9.5703125" bestFit="1" customWidth="1"/>
    <col min="16" max="16" width="10.85546875" bestFit="1" customWidth="1"/>
    <col min="17" max="17" width="10.85546875" customWidth="1"/>
    <col min="20" max="20" width="12.28515625" bestFit="1" customWidth="1"/>
  </cols>
  <sheetData>
    <row r="4" spans="7:12">
      <c r="G4" t="s">
        <v>19</v>
      </c>
      <c r="I4" s="6">
        <f>SUM(I12:I19)</f>
        <v>1326.74</v>
      </c>
      <c r="L4" s="4"/>
    </row>
    <row r="5" spans="7:12">
      <c r="G5" t="s">
        <v>20</v>
      </c>
      <c r="I5" s="2"/>
      <c r="J5" s="9">
        <f>SUM(J12:J20)</f>
        <v>434.46</v>
      </c>
      <c r="L5" s="5"/>
    </row>
    <row r="6" spans="7:12">
      <c r="I6" s="2"/>
      <c r="L6" s="5"/>
    </row>
    <row r="7" spans="7:12">
      <c r="G7" t="s">
        <v>21</v>
      </c>
      <c r="I7" s="5">
        <f>I4-J5</f>
        <v>892.28</v>
      </c>
      <c r="L7" s="5"/>
    </row>
    <row r="12" spans="7:12">
      <c r="G12" t="s">
        <v>164</v>
      </c>
      <c r="I12" s="6">
        <v>97</v>
      </c>
    </row>
    <row r="13" spans="7:12">
      <c r="G13" t="s">
        <v>140</v>
      </c>
      <c r="I13" s="6">
        <v>1229.74</v>
      </c>
    </row>
    <row r="14" spans="7:12">
      <c r="G14" t="s">
        <v>194</v>
      </c>
    </row>
    <row r="15" spans="7:12">
      <c r="G15" t="s">
        <v>55</v>
      </c>
      <c r="J15" s="9">
        <v>5</v>
      </c>
    </row>
    <row r="16" spans="7:12">
      <c r="G16" t="s">
        <v>56</v>
      </c>
    </row>
    <row r="17" spans="4:20">
      <c r="G17" t="s">
        <v>57</v>
      </c>
      <c r="J17" s="9">
        <f>J25</f>
        <v>332.46</v>
      </c>
    </row>
    <row r="18" spans="4:20">
      <c r="G18" t="s">
        <v>58</v>
      </c>
    </row>
    <row r="19" spans="4:20">
      <c r="G19" t="s">
        <v>59</v>
      </c>
      <c r="J19" s="9">
        <v>97</v>
      </c>
    </row>
    <row r="23" spans="4:20">
      <c r="G23" s="8" t="s">
        <v>60</v>
      </c>
      <c r="H23" s="8" t="s">
        <v>61</v>
      </c>
      <c r="I23" s="7"/>
      <c r="J23" s="10"/>
      <c r="K23" s="10"/>
      <c r="L23" s="8" t="s">
        <v>24</v>
      </c>
      <c r="M23" s="8" t="s">
        <v>62</v>
      </c>
      <c r="N23" s="8" t="s">
        <v>223</v>
      </c>
      <c r="O23" s="8" t="s">
        <v>64</v>
      </c>
      <c r="P23" s="8" t="s">
        <v>65</v>
      </c>
      <c r="Q23" s="8" t="s">
        <v>224</v>
      </c>
      <c r="R23" s="8" t="s">
        <v>130</v>
      </c>
      <c r="S23" s="8" t="s">
        <v>68</v>
      </c>
      <c r="T23" s="8" t="s">
        <v>69</v>
      </c>
    </row>
    <row r="24" spans="4:20">
      <c r="F24" s="1"/>
      <c r="K24" s="9"/>
      <c r="L24" s="9"/>
      <c r="M24" s="9"/>
      <c r="N24" s="9"/>
      <c r="O24" s="9"/>
      <c r="P24" s="9"/>
      <c r="Q24" s="9"/>
      <c r="R24" s="9"/>
      <c r="S24" s="9"/>
      <c r="T24" s="9"/>
    </row>
    <row r="25" spans="4:20">
      <c r="E25" t="s">
        <v>225</v>
      </c>
      <c r="F25" s="1">
        <v>42706</v>
      </c>
      <c r="G25" t="s">
        <v>226</v>
      </c>
      <c r="H25" t="s">
        <v>227</v>
      </c>
      <c r="J25" s="9">
        <v>332.46</v>
      </c>
      <c r="K25" s="9"/>
      <c r="L25" s="9"/>
      <c r="M25" s="9"/>
      <c r="N25" s="9"/>
      <c r="O25" s="9">
        <f>J25</f>
        <v>332.46</v>
      </c>
      <c r="P25" s="9"/>
      <c r="Q25" s="9"/>
      <c r="R25" s="9"/>
      <c r="S25" s="9"/>
      <c r="T25" s="9"/>
    </row>
    <row r="26" spans="4:20">
      <c r="E26" t="s">
        <v>228</v>
      </c>
      <c r="F26" s="1">
        <v>42707</v>
      </c>
      <c r="G26" t="s">
        <v>200</v>
      </c>
      <c r="H26" t="s">
        <v>201</v>
      </c>
      <c r="J26" s="9">
        <v>71.180000000000007</v>
      </c>
      <c r="K26" s="9"/>
      <c r="L26" s="9"/>
      <c r="M26" s="9"/>
      <c r="N26" s="9"/>
      <c r="O26" s="9"/>
      <c r="P26" s="9"/>
      <c r="Q26" s="9"/>
      <c r="R26" s="9">
        <f>J26</f>
        <v>71.180000000000007</v>
      </c>
      <c r="S26" s="9"/>
      <c r="T26" s="9"/>
    </row>
    <row r="27" spans="4:20">
      <c r="K27" s="9"/>
      <c r="L27" s="9"/>
      <c r="M27" s="9"/>
      <c r="N27" s="9"/>
      <c r="O27" s="9"/>
      <c r="P27" s="9"/>
      <c r="Q27" s="9"/>
      <c r="R27" s="9"/>
      <c r="S27" s="9"/>
      <c r="T27" s="9"/>
    </row>
    <row r="28" spans="4:20">
      <c r="K28" s="9"/>
      <c r="L28" s="9"/>
      <c r="M28" s="9"/>
      <c r="N28" s="9"/>
      <c r="O28" s="9"/>
      <c r="P28" s="9"/>
      <c r="Q28" s="9"/>
      <c r="R28" s="9"/>
      <c r="S28" s="9"/>
      <c r="T28" s="9"/>
    </row>
    <row r="29" spans="4:20">
      <c r="K29" s="9"/>
      <c r="L29" s="9"/>
      <c r="M29" s="9"/>
      <c r="N29" s="9"/>
      <c r="O29" s="9"/>
      <c r="P29" s="9"/>
      <c r="Q29" s="9"/>
      <c r="R29" s="9"/>
      <c r="S29" s="9"/>
      <c r="T29" s="9"/>
    </row>
    <row r="30" spans="4:20">
      <c r="K30" s="9"/>
      <c r="L30" s="9"/>
      <c r="M30" s="9"/>
      <c r="N30" s="9"/>
      <c r="O30" s="9"/>
      <c r="P30" s="9"/>
      <c r="Q30" s="9"/>
      <c r="R30" s="9"/>
      <c r="S30" s="9"/>
      <c r="T30" s="9"/>
    </row>
    <row r="31" spans="4:20">
      <c r="K31" s="9"/>
      <c r="L31" s="9"/>
      <c r="M31" s="9"/>
      <c r="N31" s="9"/>
      <c r="O31" s="9"/>
      <c r="P31" s="9"/>
      <c r="Q31" s="9"/>
      <c r="R31" s="9"/>
      <c r="S31" s="9"/>
      <c r="T31" s="9"/>
    </row>
    <row r="32" spans="4:20">
      <c r="D32" t="s">
        <v>158</v>
      </c>
      <c r="F32" s="1">
        <v>42705</v>
      </c>
      <c r="G32" t="s">
        <v>229</v>
      </c>
      <c r="H32" t="s">
        <v>223</v>
      </c>
      <c r="J32" s="9">
        <v>92.97</v>
      </c>
      <c r="K32" s="9"/>
      <c r="L32" s="9"/>
      <c r="M32" s="9"/>
      <c r="N32" s="9">
        <f>J32</f>
        <v>92.97</v>
      </c>
      <c r="O32" s="9"/>
      <c r="P32" s="9"/>
      <c r="Q32" s="9"/>
      <c r="R32" s="9"/>
      <c r="S32" s="9"/>
      <c r="T32" s="9"/>
    </row>
    <row r="33" spans="6:20">
      <c r="F33" s="1">
        <v>42706</v>
      </c>
      <c r="G33" t="s">
        <v>230</v>
      </c>
      <c r="H33" t="s">
        <v>231</v>
      </c>
      <c r="J33" s="9">
        <f>19+38.33</f>
        <v>57.33</v>
      </c>
      <c r="K33" s="9"/>
      <c r="L33" s="9"/>
      <c r="M33" s="9"/>
      <c r="N33" s="9"/>
      <c r="O33" s="9"/>
      <c r="P33" s="9"/>
      <c r="Q33" s="9"/>
      <c r="R33" s="9"/>
      <c r="S33" s="9">
        <f>J33</f>
        <v>57.33</v>
      </c>
      <c r="T33" s="9"/>
    </row>
    <row r="34" spans="6:20">
      <c r="F34" s="1">
        <v>42706</v>
      </c>
      <c r="G34" t="s">
        <v>159</v>
      </c>
      <c r="H34" t="s">
        <v>232</v>
      </c>
      <c r="J34" s="9">
        <v>225.16</v>
      </c>
      <c r="K34" s="9"/>
      <c r="L34" s="9"/>
      <c r="M34" s="9"/>
      <c r="N34" s="9"/>
      <c r="O34" s="9"/>
      <c r="P34" s="9"/>
      <c r="Q34" s="9"/>
      <c r="R34" s="9">
        <f>J34</f>
        <v>225.16</v>
      </c>
      <c r="S34" s="9"/>
      <c r="T34" s="9"/>
    </row>
    <row r="35" spans="6:20">
      <c r="F35" s="1">
        <v>42706</v>
      </c>
      <c r="G35" t="s">
        <v>159</v>
      </c>
      <c r="H35" t="s">
        <v>34</v>
      </c>
      <c r="J35" s="9">
        <v>825.87</v>
      </c>
      <c r="K35" s="9"/>
      <c r="L35" s="9"/>
      <c r="M35" s="9"/>
      <c r="N35" s="9"/>
      <c r="O35" s="9"/>
      <c r="P35" s="9"/>
      <c r="Q35" s="9">
        <f>J35</f>
        <v>825.87</v>
      </c>
      <c r="R35" s="9"/>
      <c r="S35" s="9"/>
      <c r="T35" s="9"/>
    </row>
    <row r="36" spans="6:20">
      <c r="F36" s="1">
        <v>42713</v>
      </c>
      <c r="G36" t="s">
        <v>159</v>
      </c>
      <c r="H36" t="s">
        <v>231</v>
      </c>
      <c r="J36" s="9">
        <v>42.84</v>
      </c>
      <c r="K36" s="9"/>
      <c r="L36" s="9"/>
      <c r="M36" s="9"/>
      <c r="N36" s="9"/>
      <c r="O36" s="9"/>
      <c r="P36" s="9"/>
      <c r="Q36" s="9"/>
      <c r="R36" s="9"/>
      <c r="S36" s="9">
        <f>J36</f>
        <v>42.84</v>
      </c>
      <c r="T36" s="9"/>
    </row>
    <row r="37" spans="6:20">
      <c r="F37" s="1">
        <v>42708</v>
      </c>
      <c r="K37" s="9"/>
      <c r="L37" s="9"/>
      <c r="M37" s="9"/>
      <c r="N37" s="9"/>
      <c r="O37" s="9"/>
      <c r="P37" s="9"/>
      <c r="Q37" s="9"/>
      <c r="R37" s="9"/>
      <c r="S37" s="9"/>
      <c r="T37" s="9"/>
    </row>
    <row r="38" spans="6:20">
      <c r="F38" s="1">
        <v>42719</v>
      </c>
      <c r="G38" t="s">
        <v>229</v>
      </c>
      <c r="H38" t="s">
        <v>223</v>
      </c>
      <c r="I38" s="2"/>
      <c r="J38" s="9">
        <v>131.51</v>
      </c>
      <c r="K38" s="9"/>
      <c r="L38" s="9"/>
      <c r="M38" s="9"/>
      <c r="N38" s="9">
        <f>J38</f>
        <v>131.51</v>
      </c>
      <c r="O38" s="9"/>
      <c r="P38" s="9"/>
      <c r="Q38" s="9"/>
      <c r="R38" s="9"/>
      <c r="S38" s="9"/>
      <c r="T38" s="9"/>
    </row>
    <row r="39" spans="6:20">
      <c r="F39" s="1">
        <v>42723</v>
      </c>
      <c r="G39" t="s">
        <v>233</v>
      </c>
      <c r="H39" t="s">
        <v>232</v>
      </c>
      <c r="I39" s="2"/>
      <c r="J39" s="9">
        <v>379.48</v>
      </c>
      <c r="K39" s="9"/>
      <c r="L39" s="9"/>
      <c r="M39" s="9"/>
      <c r="N39" s="9"/>
      <c r="O39" s="9"/>
      <c r="P39" s="9"/>
      <c r="Q39" s="9"/>
      <c r="R39" s="9">
        <f>J39</f>
        <v>379.48</v>
      </c>
      <c r="S39" s="9"/>
      <c r="T39" s="9"/>
    </row>
    <row r="40" spans="6:20">
      <c r="F40" s="1">
        <v>42723</v>
      </c>
      <c r="G40" t="s">
        <v>233</v>
      </c>
      <c r="H40" t="s">
        <v>34</v>
      </c>
      <c r="I40" s="2"/>
      <c r="J40" s="9">
        <v>1051</v>
      </c>
      <c r="K40" s="9"/>
      <c r="L40" s="9"/>
      <c r="M40" s="9"/>
      <c r="N40" s="9"/>
      <c r="O40" s="9"/>
      <c r="P40" s="9"/>
      <c r="Q40" s="9">
        <f>J40</f>
        <v>1051</v>
      </c>
      <c r="R40" s="9"/>
      <c r="S40" s="9"/>
      <c r="T40" s="9"/>
    </row>
    <row r="41" spans="6:20">
      <c r="F41" s="1">
        <v>42727</v>
      </c>
      <c r="G41" t="s">
        <v>233</v>
      </c>
      <c r="H41" t="s">
        <v>231</v>
      </c>
      <c r="J41" s="9">
        <v>55.57</v>
      </c>
      <c r="K41" s="9"/>
      <c r="L41" s="9"/>
      <c r="M41" s="9"/>
      <c r="N41" s="9"/>
      <c r="O41" s="9"/>
      <c r="P41" s="9"/>
      <c r="Q41" s="9"/>
      <c r="R41" s="9"/>
      <c r="S41" s="9">
        <f>J41</f>
        <v>55.57</v>
      </c>
      <c r="T41" s="9"/>
    </row>
    <row r="42" spans="6:20">
      <c r="F42" s="1">
        <v>42731</v>
      </c>
      <c r="G42" t="s">
        <v>28</v>
      </c>
      <c r="H42" t="s">
        <v>234</v>
      </c>
      <c r="J42" s="9">
        <v>129.75</v>
      </c>
      <c r="K42" s="9"/>
      <c r="L42" s="9"/>
      <c r="M42" s="9"/>
      <c r="N42" s="9"/>
      <c r="O42" s="9"/>
      <c r="P42" s="9"/>
      <c r="Q42" s="9"/>
      <c r="R42" s="9"/>
      <c r="S42" s="9">
        <f>J42</f>
        <v>129.75</v>
      </c>
      <c r="T42" s="9"/>
    </row>
    <row r="43" spans="6:20">
      <c r="K43" s="9"/>
      <c r="L43" s="9"/>
      <c r="M43" s="9"/>
      <c r="N43" s="9"/>
      <c r="O43" s="9"/>
      <c r="P43" s="9"/>
      <c r="Q43" s="9"/>
      <c r="R43" s="9"/>
      <c r="S43" s="9"/>
      <c r="T43" s="9"/>
    </row>
    <row r="44" spans="6:20">
      <c r="J44" s="9">
        <f>SUM(J25:J42)</f>
        <v>3395.1200000000003</v>
      </c>
      <c r="K44" s="9">
        <f t="shared" ref="K44:T44" si="0">SUM(K25:K42)</f>
        <v>0</v>
      </c>
      <c r="L44" s="9">
        <f t="shared" si="0"/>
        <v>0</v>
      </c>
      <c r="M44" s="9">
        <f t="shared" si="0"/>
        <v>0</v>
      </c>
      <c r="N44" s="9">
        <f t="shared" si="0"/>
        <v>224.48</v>
      </c>
      <c r="O44" s="9">
        <f t="shared" si="0"/>
        <v>332.46</v>
      </c>
      <c r="P44" s="9">
        <f t="shared" si="0"/>
        <v>0</v>
      </c>
      <c r="Q44" s="9">
        <f t="shared" si="0"/>
        <v>1876.87</v>
      </c>
      <c r="R44" s="9">
        <f t="shared" si="0"/>
        <v>675.82</v>
      </c>
      <c r="S44" s="9">
        <f t="shared" si="0"/>
        <v>285.49</v>
      </c>
      <c r="T44" s="9">
        <f t="shared" si="0"/>
        <v>0</v>
      </c>
    </row>
  </sheetData>
  <phoneticPr fontId="3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BDB33-3E0D-4A11-9B56-032EFE531EA0}">
  <dimension ref="B2:B36"/>
  <sheetViews>
    <sheetView workbookViewId="0">
      <selection activeCell="M26" sqref="M26"/>
    </sheetView>
  </sheetViews>
  <sheetFormatPr defaultRowHeight="15"/>
  <cols>
    <col min="2" max="2" width="17.42578125" bestFit="1" customWidth="1"/>
  </cols>
  <sheetData>
    <row r="2" spans="2:2">
      <c r="B2" t="s">
        <v>235</v>
      </c>
    </row>
    <row r="4" spans="2:2">
      <c r="B4" t="s">
        <v>148</v>
      </c>
    </row>
    <row r="6" spans="2:2">
      <c r="B6" t="s">
        <v>236</v>
      </c>
    </row>
    <row r="8" spans="2:2">
      <c r="B8" t="s">
        <v>237</v>
      </c>
    </row>
    <row r="10" spans="2:2">
      <c r="B10" t="s">
        <v>238</v>
      </c>
    </row>
    <row r="12" spans="2:2">
      <c r="B12" t="s">
        <v>239</v>
      </c>
    </row>
    <row r="14" spans="2:2">
      <c r="B14" t="s">
        <v>240</v>
      </c>
    </row>
    <row r="16" spans="2:2">
      <c r="B16" t="s">
        <v>190</v>
      </c>
    </row>
    <row r="18" spans="2:2">
      <c r="B18" t="s">
        <v>241</v>
      </c>
    </row>
    <row r="20" spans="2:2">
      <c r="B20" t="s">
        <v>242</v>
      </c>
    </row>
    <row r="22" spans="2:2">
      <c r="B22" t="s">
        <v>243</v>
      </c>
    </row>
    <row r="24" spans="2:2">
      <c r="B24" t="s">
        <v>244</v>
      </c>
    </row>
    <row r="26" spans="2:2">
      <c r="B26" t="s">
        <v>245</v>
      </c>
    </row>
    <row r="28" spans="2:2">
      <c r="B28" t="s">
        <v>246</v>
      </c>
    </row>
    <row r="30" spans="2:2">
      <c r="B30" t="s">
        <v>142</v>
      </c>
    </row>
    <row r="32" spans="2:2">
      <c r="B32" t="s">
        <v>247</v>
      </c>
    </row>
    <row r="34" spans="2:2">
      <c r="B34" t="s">
        <v>248</v>
      </c>
    </row>
    <row r="36" spans="2:2">
      <c r="B36" t="s">
        <v>249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7dc771f6-da2e-4bd1-a70e-d17768d8552b">6YDMQ6CUTPJ4-1427209179-712</_dlc_DocId>
    <_dlc_DocIdUrl xmlns="7dc771f6-da2e-4bd1-a70e-d17768d8552b">
      <Url>https://cloudbaud.sharepoint.com/sites/Accounting/Taxes/_layouts/15/DocIdRedir.aspx?ID=6YDMQ6CUTPJ4-1427209179-712</Url>
      <Description>6YDMQ6CUTPJ4-1427209179-712</Description>
    </_dlc_DocIdUrl>
    <TaxCatchAll xmlns="7dc771f6-da2e-4bd1-a70e-d17768d8552b" xsi:nil="true"/>
    <lcf76f155ced4ddcb4097134ff3c332f xmlns="aba09c29-35bd-4335-b6cc-74f029ed22c9">
      <Terms xmlns="http://schemas.microsoft.com/office/infopath/2007/PartnerControls"/>
    </lcf76f155ced4ddcb4097134ff3c332f>
    <MonthNum xmlns="aba09c29-35bd-4335-b6cc-74f029ed22c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F16AA485BE684791667F087565664F" ma:contentTypeVersion="13" ma:contentTypeDescription="Create a new document." ma:contentTypeScope="" ma:versionID="f0823791782b2ab4fcddf4a59265db8c">
  <xsd:schema xmlns:xsd="http://www.w3.org/2001/XMLSchema" xmlns:xs="http://www.w3.org/2001/XMLSchema" xmlns:p="http://schemas.microsoft.com/office/2006/metadata/properties" xmlns:ns2="7dc771f6-da2e-4bd1-a70e-d17768d8552b" xmlns:ns3="aba09c29-35bd-4335-b6cc-74f029ed22c9" xmlns:ns4="b0fa510d-7618-4990-8d82-45385a8571b3" targetNamespace="http://schemas.microsoft.com/office/2006/metadata/properties" ma:root="true" ma:fieldsID="b8c30c05639b6863ffb6e96a57600445" ns2:_="" ns3:_="" ns4:_="">
    <xsd:import namespace="7dc771f6-da2e-4bd1-a70e-d17768d8552b"/>
    <xsd:import namespace="aba09c29-35bd-4335-b6cc-74f029ed22c9"/>
    <xsd:import namespace="b0fa510d-7618-4990-8d82-45385a8571b3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3:MonthNum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c771f6-da2e-4bd1-a70e-d17768d8552b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15" nillable="true" ma:displayName="Taxonomy Catch All Column" ma:hidden="true" ma:list="{70da1760-388e-4423-a8c0-441d6bdb01c8}" ma:internalName="TaxCatchAll" ma:showField="CatchAllData" ma:web="7dc771f6-da2e-4bd1-a70e-d17768d8552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a09c29-35bd-4335-b6cc-74f029ed22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1330b531-dd62-44ad-9bfd-ea1049f7e5a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onthNum" ma:index="21" nillable="true" ma:displayName="MonthNum" ma:format="Dropdown" ma:internalName="MonthNum" ma:percentage="FALSE">
      <xsd:simpleType>
        <xsd:restriction base="dms:Number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fa510d-7618-4990-8d82-45385a8571b3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C29EDC08-1CFC-4AE5-AEA1-445180B54AD3}"/>
</file>

<file path=customXml/itemProps2.xml><?xml version="1.0" encoding="utf-8"?>
<ds:datastoreItem xmlns:ds="http://schemas.openxmlformats.org/officeDocument/2006/customXml" ds:itemID="{0C426D95-A96C-4CA3-8DF0-C496FB8C5C2A}"/>
</file>

<file path=customXml/itemProps3.xml><?xml version="1.0" encoding="utf-8"?>
<ds:datastoreItem xmlns:ds="http://schemas.openxmlformats.org/officeDocument/2006/customXml" ds:itemID="{892D8B7C-889B-482C-A767-DFA75CF67831}"/>
</file>

<file path=customXml/itemProps4.xml><?xml version="1.0" encoding="utf-8"?>
<ds:datastoreItem xmlns:ds="http://schemas.openxmlformats.org/officeDocument/2006/customXml" ds:itemID="{C934202C-E629-464C-A041-63FD721EFDB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>Federal Income Tax</dc:subject>
  <dc:creator>Jish Nath</dc:creator>
  <cp:keywords>2016</cp:keywords>
  <dc:description/>
  <cp:lastModifiedBy>Jish Nath</cp:lastModifiedBy>
  <cp:revision/>
  <dcterms:created xsi:type="dcterms:W3CDTF">2020-06-29T20:51:32Z</dcterms:created>
  <dcterms:modified xsi:type="dcterms:W3CDTF">2021-09-15T05:14:29Z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0x0101006EF16AA485BE684791667F087565664F</vt:lpwstr>
  </property>
  <property fmtid="{D5CDD505-2E9C-101B-9397-08002B2CF9AE}" pid="3" name="WorkbookGuid">
    <vt:lpwstr>68c99fce-ae56-4947-aed9-d40e5a28b41d</vt:lpwstr>
  </property>
  <property fmtid="{D5CDD505-2E9C-101B-9397-08002B2CF9AE}" pid="4" name="xd_ProgID">
    <vt:lpwstr/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dlc_DocIdItemGuid">
    <vt:lpwstr>0e80d951-7716-436d-81ed-817b009ae1ea</vt:lpwstr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</Properties>
</file>