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baud.sharepoint.com/sites/Taxes-FederalTaxesBizPersonal/Shared Documents/Federal Taxes Biz Personal/2017/"/>
    </mc:Choice>
  </mc:AlternateContent>
  <xr:revisionPtr revIDLastSave="196" documentId="8_{E17BE841-8A20-4322-A372-89737D9768EC}" xr6:coauthVersionLast="47" xr6:coauthVersionMax="47" xr10:uidLastSave="{92FF8207-CD63-435E-AB77-7E3C0E1508C6}"/>
  <bookViews>
    <workbookView xWindow="-120" yWindow="330" windowWidth="38640" windowHeight="15990" xr2:uid="{91B7E148-D819-4643-863E-0E8948DF1730}"/>
  </bookViews>
  <sheets>
    <sheet name="Individual" sheetId="3" r:id="rId1"/>
    <sheet name="Robertos" sheetId="1" r:id="rId2"/>
    <sheet name="CloudBau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30" i="1"/>
  <c r="D9" i="1"/>
  <c r="D43" i="1"/>
  <c r="D44" i="1"/>
  <c r="D32" i="1"/>
  <c r="D12" i="1"/>
  <c r="D21" i="1"/>
  <c r="D31" i="1"/>
  <c r="D7" i="1"/>
  <c r="D42" i="2"/>
  <c r="D43" i="2"/>
  <c r="D44" i="2"/>
  <c r="D45" i="2"/>
  <c r="D46" i="2"/>
  <c r="D47" i="2"/>
  <c r="H19" i="1"/>
  <c r="G19" i="1"/>
  <c r="F19" i="1"/>
  <c r="E19" i="1"/>
  <c r="D19" i="1" s="1"/>
  <c r="D6" i="2"/>
  <c r="D40" i="2"/>
  <c r="O41" i="2"/>
  <c r="D41" i="2" s="1"/>
  <c r="D17" i="2"/>
  <c r="D11" i="1"/>
  <c r="D8" i="2"/>
  <c r="D14" i="2"/>
  <c r="D9" i="3"/>
  <c r="D23" i="1"/>
  <c r="D6" i="3" l="1"/>
  <c r="D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B3" authorId="0" shapeId="0" xr:uid="{B3986654-8E18-47D1-9C07-3107188A305B}">
      <text>
        <r>
          <rPr>
            <sz val="11"/>
            <color theme="1"/>
            <rFont val="Calibri"/>
            <family val="2"/>
            <scheme val="minor"/>
          </rPr>
          <t>Jish Nath:
Deepika Nath ONLY.  Jish has no W2</t>
        </r>
      </text>
    </comment>
    <comment ref="B15" authorId="0" shapeId="0" xr:uid="{A2A24DA9-E3DD-4ACA-BC29-024D69048A64}">
      <text>
        <r>
          <rPr>
            <sz val="11"/>
            <color theme="1"/>
            <rFont val="Calibri"/>
            <family val="2"/>
            <scheme val="minor"/>
          </rPr>
          <t>Jish Nath:
Edward Jones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  <author>tc={920324D9-8055-4D89-8794-FBCDA52AED79}</author>
  </authors>
  <commentList>
    <comment ref="D9" authorId="0" shapeId="0" xr:uid="{E8B4727E-23AC-4D52-833F-050112864152}">
      <text>
        <r>
          <rPr>
            <sz val="11"/>
            <color theme="1"/>
            <rFont val="Calibri"/>
            <family val="2"/>
            <scheme val="minor"/>
          </rPr>
          <t>Jish Nath:
unclaimed Kingswood Leasing 225 from 2016
930.91 to Pawnee in 2016</t>
        </r>
      </text>
    </comment>
    <comment ref="C19" authorId="1" shapeId="0" xr:uid="{920324D9-8055-4D89-8794-FBCDA52AED79}">
      <text>
        <t>[Threaded comment]
Your version of Excel allows you to read this threaded comment; however, any edits to it will get removed if the file is opened in a newer version of Excel. Learn more: https://go.microsoft.com/fwlink/?linkid=870924
Comment:
    @David  Inventory is what i am working on right now</t>
      </text>
    </comment>
    <comment ref="D21" authorId="0" shapeId="0" xr:uid="{ACF790F3-06C4-4F15-AD0B-C9467C2DF767}">
      <text>
        <r>
          <rPr>
            <sz val="11"/>
            <color theme="1"/>
            <rFont val="Calibri"/>
            <family val="2"/>
            <scheme val="minor"/>
          </rPr>
          <t>Jish Nath:
Harland Checks (unclaimed from 2015)</t>
        </r>
      </text>
    </comment>
    <comment ref="C30" authorId="0" shapeId="0" xr:uid="{362514B5-DD72-4B05-9AB5-C258C784F96E}">
      <text>
        <r>
          <rPr>
            <sz val="11"/>
            <color theme="1"/>
            <rFont val="Calibri"/>
            <family val="2"/>
            <scheme val="minor"/>
          </rPr>
          <t xml:space="preserve">Jish Nath:
unclaimed in 2015 &amp; 2016 for these folks
</t>
        </r>
      </text>
    </comment>
    <comment ref="D30" authorId="0" shapeId="0" xr:uid="{E386C400-F60B-4E72-BBE0-0602D90CC1BD}">
      <text>
        <r>
          <rPr>
            <sz val="11"/>
            <color theme="1"/>
            <rFont val="Calibri"/>
            <family val="2"/>
            <scheme val="minor"/>
          </rPr>
          <t>Jish Nath:
659.98 for Kris Robbins in 2015
500 to Griffin Richardson</t>
        </r>
      </text>
    </comment>
    <comment ref="D32" authorId="0" shapeId="0" xr:uid="{C7A8F3B0-F661-48B6-9E9A-17554B3CC880}">
      <text>
        <r>
          <rPr>
            <sz val="11"/>
            <color theme="1"/>
            <rFont val="Calibri"/>
            <family val="2"/>
            <scheme val="minor"/>
          </rPr>
          <t>Jish Nath:
unclaimed DOH plan review from 2016</t>
        </r>
      </text>
    </comment>
    <comment ref="D44" authorId="0" shapeId="0" xr:uid="{774EE8C3-61F2-4AE4-9774-41DC3201084A}">
      <text>
        <r>
          <rPr>
            <sz val="11"/>
            <color theme="1"/>
            <rFont val="Calibri"/>
            <family val="2"/>
            <scheme val="minor"/>
          </rPr>
          <t>Jish Nath:
paint by jose gomez in 2016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O41" authorId="0" shapeId="0" xr:uid="{03F7A83D-DB16-4F10-97F2-688A1F6B7CB3}">
      <text>
        <r>
          <rPr>
            <sz val="11"/>
            <color theme="1"/>
            <rFont val="Calibri"/>
            <family val="2"/>
            <scheme val="minor"/>
          </rPr>
          <t xml:space="preserve">Jish Nath:
Office Redesign Arch
</t>
        </r>
      </text>
    </comment>
  </commentList>
</comments>
</file>

<file path=xl/sharedStrings.xml><?xml version="1.0" encoding="utf-8"?>
<sst xmlns="http://schemas.openxmlformats.org/spreadsheetml/2006/main" count="146" uniqueCount="113">
  <si>
    <t>W2 Wages</t>
  </si>
  <si>
    <t>Biz Income/Loss</t>
  </si>
  <si>
    <t>1. Robertos Pizza</t>
  </si>
  <si>
    <t>2. CloudBaud LLC</t>
  </si>
  <si>
    <t>Capital Gains/Loss</t>
  </si>
  <si>
    <t>Jishnu Roth IRA</t>
  </si>
  <si>
    <t>Deepika ROTH IRA</t>
  </si>
  <si>
    <t>SEP IRA</t>
  </si>
  <si>
    <t>1099-R</t>
  </si>
  <si>
    <t>Child Education Fund</t>
  </si>
  <si>
    <t>Itemized deductions</t>
  </si>
  <si>
    <t>Medical/Dental</t>
  </si>
  <si>
    <t>Real Estate Taxes</t>
  </si>
  <si>
    <t>Home Mortgage Interest</t>
  </si>
  <si>
    <t>Investment Interest</t>
  </si>
  <si>
    <t>Gifts to Charity</t>
  </si>
  <si>
    <t>Taxes Withheld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</si>
  <si>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</si>
  <si>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</si>
  <si>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</si>
  <si>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</si>
  <si>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</si>
  <si>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</si>
  <si>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</si>
  <si>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</si>
  <si>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</si>
  <si>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</si>
  <si>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</si>
  <si>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</si>
  <si>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Wages</t>
  </si>
  <si>
    <t>Fed Tax Withheld</t>
  </si>
  <si>
    <t>soc sec wages</t>
  </si>
  <si>
    <t>soc sec tax withheld</t>
  </si>
  <si>
    <t>medicare wages &amp; tips</t>
  </si>
  <si>
    <t>medicare taxes withheld</t>
  </si>
  <si>
    <t>soc sec tips</t>
  </si>
  <si>
    <t>Total Revenue</t>
  </si>
  <si>
    <t>Total Expenses</t>
  </si>
  <si>
    <t>RENT</t>
  </si>
  <si>
    <t>ELECTRICITY</t>
  </si>
  <si>
    <t>WASTE</t>
  </si>
  <si>
    <t xml:space="preserve"> $-   </t>
  </si>
  <si>
    <t>EQUIPMENT LEASING</t>
  </si>
  <si>
    <t>Mobile Device (moto)</t>
  </si>
  <si>
    <t>Appliance Maintenance</t>
  </si>
  <si>
    <t>Business Insurance</t>
  </si>
  <si>
    <t>Coca Cola Machine</t>
  </si>
  <si>
    <t>WA DOR</t>
  </si>
  <si>
    <t>2017 Excise</t>
  </si>
  <si>
    <t>Garnishment Fee</t>
  </si>
  <si>
    <t>Food Inventory</t>
  </si>
  <si>
    <t>Supplies</t>
  </si>
  <si>
    <t>STATIONARIES</t>
  </si>
  <si>
    <t>PAYROLL</t>
  </si>
  <si>
    <t>SS withheld by ADP</t>
  </si>
  <si>
    <t>Medicare Tax Withheld by ADP</t>
  </si>
  <si>
    <t xml:space="preserve">Fed Tax Withheld </t>
  </si>
  <si>
    <t>TEMP SERVICES</t>
  </si>
  <si>
    <t>ADP Fees</t>
  </si>
  <si>
    <t>Bank Fees</t>
  </si>
  <si>
    <t>Unclaimed Contract Labor</t>
  </si>
  <si>
    <t>LAUNDRY</t>
  </si>
  <si>
    <t>Professional Fees</t>
  </si>
  <si>
    <t>WEB HOSTING</t>
  </si>
  <si>
    <t>Comcast Business BROADBAND</t>
  </si>
  <si>
    <t>PHONE</t>
  </si>
  <si>
    <t>CELLULAR</t>
  </si>
  <si>
    <t>Digital Ads</t>
  </si>
  <si>
    <t>Asbestos</t>
  </si>
  <si>
    <t>Flooring Cement</t>
  </si>
  <si>
    <t>Paint</t>
  </si>
  <si>
    <t>Ceiling Speakers</t>
  </si>
  <si>
    <t>low voltage wiring</t>
  </si>
  <si>
    <t>iPads Two</t>
  </si>
  <si>
    <t>iPad Stand</t>
  </si>
  <si>
    <t>Cash Drawer</t>
  </si>
  <si>
    <t>Bathroom Holder</t>
  </si>
  <si>
    <t>Furniture Fraud</t>
  </si>
  <si>
    <t>Remodeling Fraud</t>
  </si>
  <si>
    <t>Revenue</t>
  </si>
  <si>
    <t>Ratio of Home Use</t>
  </si>
  <si>
    <t>Mortgage Interest</t>
  </si>
  <si>
    <t>Water</t>
  </si>
  <si>
    <t>Security</t>
  </si>
  <si>
    <t>Landscaping</t>
  </si>
  <si>
    <t>Home Owners Insurance</t>
  </si>
  <si>
    <t>Mobile Device (samsung)</t>
  </si>
  <si>
    <t>ASUS Laptop</t>
  </si>
  <si>
    <t>Biz Registration</t>
  </si>
  <si>
    <t>DOR</t>
  </si>
  <si>
    <t>LNI Insurance</t>
  </si>
  <si>
    <t>W2 Ethan Rose</t>
  </si>
  <si>
    <t>1099 Ador Yano</t>
  </si>
  <si>
    <t>1099 Shirish Sharma</t>
  </si>
  <si>
    <t>BROADBAND</t>
  </si>
  <si>
    <t>Mobile</t>
  </si>
  <si>
    <t>Logo Services</t>
  </si>
  <si>
    <t>Temp Services</t>
  </si>
  <si>
    <t>Professional Services</t>
  </si>
  <si>
    <t>Flooring</t>
  </si>
  <si>
    <t>bathroom</t>
  </si>
  <si>
    <t>electrical work</t>
  </si>
  <si>
    <t>Auto Mileage (client visits)</t>
  </si>
  <si>
    <t>2017 IRS rate</t>
  </si>
  <si>
    <t>Professional Subscriptions</t>
  </si>
  <si>
    <t>Cloud Academy</t>
  </si>
  <si>
    <t>Packt</t>
  </si>
  <si>
    <t>Pluralsight</t>
  </si>
  <si>
    <t>Linux Academy</t>
  </si>
  <si>
    <t>Adobe</t>
  </si>
  <si>
    <t>O365</t>
  </si>
  <si>
    <t>Microsoft Alumni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</si>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</sst>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sz val="11"/>
      <color rgb="FF70AD47"/>
      <name val="Calibri"/>
      <family val="2"/>
      <scheme val="minor"/>
    </font>
    <font>
      <b/>
      <sz val="11"/>
      <color rgb="FF70AD4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44" fontId="0" fillId="0" borderId="0" xfId="1" applyFont="1"/>
    <xf numFmtId="0" fontId="3" fillId="0" borderId="0" xfId="0" applyFont="1"/>
    <xf numFmtId="8" fontId="0" fillId="0" borderId="0" xfId="0" applyNumberFormat="1"/>
    <xf numFmtId="44" fontId="2" fillId="0" borderId="0" xfId="1" applyFont="1"/>
    <xf numFmtId="44" fontId="4" fillId="0" borderId="0" xfId="1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5" fillId="0" borderId="0" xfId="0" applyFont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8" fontId="5" fillId="0" borderId="0" xfId="0" applyNumberFormat="1" applyFont="1"/>
    <xf numFmtId="0" fontId="7" fillId="0" borderId="0" xfId="0" applyFont="1"/>
    <xf numFmtId="8" fontId="7" fillId="0" borderId="0" xfId="0" applyNumberFormat="1" applyFont="1"/>
    <xf numFmtId="0" fontId="8" fillId="0" borderId="0" xfId="0" applyFont="1"/>
    <xf numFmtId="0" fontId="5" fillId="0" borderId="0" xfId="0" applyFont="1" applyAlignment="1">
      <alignment horizontal="left" indent="2"/>
    </xf>
    <xf numFmtId="0" fontId="2" fillId="0" borderId="0" xfId="0" applyFont="1"/>
    <xf numFmtId="0" fontId="10" fillId="0" borderId="0" xfId="0" applyFont="1"/>
    <xf numFmtId="0" fontId="11" fillId="0" borderId="0" xfId="0" applyFont="1"/>
    <xf numFmtId="8" fontId="11" fillId="0" borderId="0" xfId="0" applyNumberFormat="1" applyFont="1"/>
    <xf numFmtId="0" fontId="5" fillId="4" borderId="0" xfId="0" applyFont="1" applyFill="1"/>
    <xf numFmtId="8" fontId="0" fillId="0" borderId="0" xfId="1" applyNumberFormat="1" applyFont="1"/>
    <xf numFmtId="164" fontId="5" fillId="0" borderId="0" xfId="0" applyNumberFormat="1" applyFont="1"/>
    <xf numFmtId="164" fontId="7" fillId="0" borderId="0" xfId="0" applyNumberFormat="1" applyFont="1"/>
    <xf numFmtId="164" fontId="9" fillId="0" borderId="0" xfId="0" applyNumberFormat="1" applyFont="1"/>
    <xf numFmtId="164" fontId="0" fillId="0" borderId="0" xfId="0" applyNumberFormat="1"/>
    <xf numFmtId="0" fontId="5" fillId="4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sh Nath" id="{956B648D-5EC0-4D44-8397-C7334502D5B9}" userId="S::jish.nath@cloudbaud.com::842c2e1c-c519-437b-a769-0b0c4cdb17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9" dT="2021-09-15T15:15:14.48" personId="{956B648D-5EC0-4D44-8397-C7334502D5B9}" id="{920324D9-8055-4D89-8794-FBCDA52AED79}">
    <text>@David  Inventory is what i am working on right now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B5E8-56AE-461E-BBCC-75932865A0FF}">
  <dimension ref="B2:G33"/>
  <sheetViews>
    <sheetView tabSelected="1" workbookViewId="0">
      <selection activeCell="G1" sqref="G1:G1048576"/>
    </sheetView>
  </sheetViews>
  <sheetFormatPr defaultRowHeight="15" x14ac:dyDescent="0.25"/>
  <cols>
    <col min="2" max="2" width="23" bestFit="1" customWidth="1"/>
    <col min="4" max="4" width="12.140625" customWidth="1"/>
    <col min="5" max="7" width="11.5703125" bestFit="1" customWidth="1"/>
  </cols>
  <sheetData>
    <row r="2" spans="2:7" x14ac:dyDescent="0.25">
      <c r="D2" s="6">
        <v>2017</v>
      </c>
      <c r="E2" s="6">
        <v>2018</v>
      </c>
      <c r="F2" s="6">
        <v>2019</v>
      </c>
      <c r="G2" s="6">
        <v>2020</v>
      </c>
    </row>
    <row r="3" spans="2:7" x14ac:dyDescent="0.25">
      <c r="B3" t="s">
        <v>0</v>
      </c>
      <c r="D3" s="1">
        <v>63132.46</v>
      </c>
      <c r="E3" s="1">
        <v>70399.570000000007</v>
      </c>
      <c r="F3" s="1">
        <v>84444.89</v>
      </c>
      <c r="G3" s="1">
        <v>69549.66</v>
      </c>
    </row>
    <row r="4" spans="2:7" x14ac:dyDescent="0.25">
      <c r="D4" s="1"/>
      <c r="E4" s="1"/>
      <c r="F4" s="1"/>
      <c r="G4" s="1"/>
    </row>
    <row r="5" spans="2:7" x14ac:dyDescent="0.25">
      <c r="B5" t="s">
        <v>1</v>
      </c>
      <c r="D5" s="1"/>
      <c r="E5" s="1"/>
      <c r="F5" s="1"/>
      <c r="G5" s="1"/>
    </row>
    <row r="6" spans="2:7" x14ac:dyDescent="0.25">
      <c r="B6" s="7" t="s">
        <v>2</v>
      </c>
      <c r="D6" s="21">
        <f>Robertos!D3-Robertos!D4</f>
        <v>-59827.545999999988</v>
      </c>
      <c r="E6" s="1"/>
      <c r="F6" s="1"/>
      <c r="G6" s="1"/>
    </row>
    <row r="7" spans="2:7" x14ac:dyDescent="0.25">
      <c r="B7" s="7" t="s">
        <v>3</v>
      </c>
      <c r="D7" s="21">
        <f>CloudBaud!D4-CloudBaud!D6</f>
        <v>245399.26610000001</v>
      </c>
      <c r="E7" s="1"/>
      <c r="F7" s="1"/>
      <c r="G7" s="1"/>
    </row>
    <row r="8" spans="2:7" x14ac:dyDescent="0.25">
      <c r="D8" s="1"/>
      <c r="E8" s="1"/>
      <c r="F8" s="1"/>
      <c r="G8" s="1"/>
    </row>
    <row r="9" spans="2:7" x14ac:dyDescent="0.25">
      <c r="B9" t="s">
        <v>4</v>
      </c>
      <c r="D9" s="4">
        <f>-1*32307.82</f>
        <v>-32307.82</v>
      </c>
      <c r="E9" s="1"/>
      <c r="F9" s="1"/>
      <c r="G9" s="1"/>
    </row>
    <row r="10" spans="2:7" x14ac:dyDescent="0.25">
      <c r="D10" s="4"/>
      <c r="E10" s="1"/>
      <c r="F10" s="1"/>
      <c r="G10" s="1"/>
    </row>
    <row r="11" spans="2:7" x14ac:dyDescent="0.25">
      <c r="B11" t="s">
        <v>5</v>
      </c>
      <c r="D11" s="5">
        <v>5500</v>
      </c>
      <c r="E11" s="5"/>
      <c r="F11" s="5"/>
      <c r="G11" s="5"/>
    </row>
    <row r="12" spans="2:7" x14ac:dyDescent="0.25">
      <c r="B12" t="s">
        <v>6</v>
      </c>
      <c r="D12" s="5">
        <v>5500</v>
      </c>
      <c r="E12" s="5">
        <v>5500</v>
      </c>
      <c r="F12" s="5"/>
      <c r="G12" s="5"/>
    </row>
    <row r="13" spans="2:7" x14ac:dyDescent="0.25">
      <c r="B13" t="s">
        <v>7</v>
      </c>
      <c r="D13" s="5">
        <v>5244.9</v>
      </c>
      <c r="E13" s="1">
        <v>43605.599999999999</v>
      </c>
      <c r="F13" s="1"/>
      <c r="G13" s="1"/>
    </row>
    <row r="14" spans="2:7" x14ac:dyDescent="0.25">
      <c r="B14" t="s">
        <v>8</v>
      </c>
      <c r="D14" s="5">
        <v>0</v>
      </c>
      <c r="E14" s="1">
        <v>4862.99</v>
      </c>
      <c r="F14" s="1"/>
      <c r="G14" s="1"/>
    </row>
    <row r="15" spans="2:7" x14ac:dyDescent="0.25">
      <c r="B15" t="s">
        <v>9</v>
      </c>
      <c r="D15" s="5">
        <v>4000</v>
      </c>
      <c r="E15" s="1"/>
      <c r="F15" s="1"/>
      <c r="G15" s="1"/>
    </row>
    <row r="16" spans="2:7" x14ac:dyDescent="0.25">
      <c r="D16" s="1"/>
      <c r="E16" s="1"/>
      <c r="F16" s="1"/>
      <c r="G16" s="1"/>
    </row>
    <row r="17" spans="2:7" x14ac:dyDescent="0.25">
      <c r="B17" s="2" t="s">
        <v>10</v>
      </c>
      <c r="D17" s="1"/>
      <c r="E17" s="1"/>
      <c r="F17" s="1"/>
      <c r="G17" s="1"/>
    </row>
    <row r="18" spans="2:7" x14ac:dyDescent="0.25">
      <c r="B18" t="s">
        <v>11</v>
      </c>
      <c r="D18" s="1">
        <v>4050</v>
      </c>
      <c r="E18" s="1"/>
      <c r="F18" s="1"/>
      <c r="G18" s="1"/>
    </row>
    <row r="19" spans="2:7" x14ac:dyDescent="0.25">
      <c r="B19" t="s">
        <v>12</v>
      </c>
      <c r="D19" s="3">
        <v>5009.22</v>
      </c>
      <c r="E19" s="1">
        <v>6191.31</v>
      </c>
      <c r="F19" s="1">
        <v>6633.65</v>
      </c>
      <c r="G19" s="1">
        <v>7191.32</v>
      </c>
    </row>
    <row r="20" spans="2:7" x14ac:dyDescent="0.25">
      <c r="B20" t="s">
        <v>12</v>
      </c>
      <c r="D20" s="1"/>
      <c r="E20" s="1">
        <v>2761.75</v>
      </c>
      <c r="F20" s="1">
        <v>2724.69</v>
      </c>
      <c r="G20" s="1">
        <v>3186.17</v>
      </c>
    </row>
    <row r="21" spans="2:7" x14ac:dyDescent="0.25">
      <c r="D21" s="1"/>
      <c r="E21" s="1"/>
      <c r="F21" s="1"/>
      <c r="G21" s="1"/>
    </row>
    <row r="22" spans="2:7" x14ac:dyDescent="0.25">
      <c r="B22" t="s">
        <v>13</v>
      </c>
      <c r="D22" s="1">
        <v>17619.669999999998</v>
      </c>
      <c r="E22" s="1">
        <v>13698.52</v>
      </c>
      <c r="F22" s="1">
        <v>18719.36</v>
      </c>
      <c r="G22" s="1">
        <v>16431.02</v>
      </c>
    </row>
    <row r="23" spans="2:7" x14ac:dyDescent="0.25">
      <c r="B23" t="s">
        <v>14</v>
      </c>
      <c r="D23">
        <v>115.94</v>
      </c>
    </row>
    <row r="25" spans="2:7" x14ac:dyDescent="0.25">
      <c r="B25" t="s">
        <v>15</v>
      </c>
      <c r="D25" s="1">
        <v>500</v>
      </c>
      <c r="E25" s="1"/>
      <c r="F25" s="1"/>
      <c r="G25" s="1"/>
    </row>
    <row r="26" spans="2:7" x14ac:dyDescent="0.25">
      <c r="D26" s="1"/>
      <c r="E26" s="1"/>
      <c r="F26" s="1"/>
      <c r="G26" s="1"/>
    </row>
    <row r="27" spans="2:7" x14ac:dyDescent="0.25">
      <c r="D27" s="1"/>
      <c r="E27" s="1"/>
      <c r="F27" s="1"/>
      <c r="G27" s="1"/>
    </row>
    <row r="28" spans="2:7" x14ac:dyDescent="0.25">
      <c r="B28" t="s">
        <v>16</v>
      </c>
      <c r="D28" s="1">
        <v>7909.36</v>
      </c>
      <c r="E28" s="1">
        <v>7675.56</v>
      </c>
      <c r="F28" s="1">
        <v>12386.28</v>
      </c>
      <c r="G28" s="1">
        <v>10423.75</v>
      </c>
    </row>
    <row r="29" spans="2:7" x14ac:dyDescent="0.25">
      <c r="D29" s="1"/>
      <c r="E29" s="1"/>
      <c r="F29" s="1"/>
      <c r="G29" s="1"/>
    </row>
    <row r="30" spans="2:7" x14ac:dyDescent="0.25">
      <c r="D30" s="1"/>
      <c r="E30" s="1"/>
      <c r="F30" s="1"/>
      <c r="G30" s="1"/>
    </row>
    <row r="31" spans="2:7" x14ac:dyDescent="0.25">
      <c r="D31" s="1"/>
      <c r="E31" s="1"/>
      <c r="F31" s="1"/>
      <c r="G31" s="1"/>
    </row>
    <row r="32" spans="2:7" x14ac:dyDescent="0.25">
      <c r="D32" s="1"/>
      <c r="E32" s="1"/>
      <c r="F32" s="1"/>
      <c r="G32" s="1"/>
    </row>
    <row r="33" spans="4:7" x14ac:dyDescent="0.25">
      <c r="D33" s="1"/>
      <c r="E33" s="1"/>
      <c r="F33" s="1"/>
      <c r="G33" s="1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1AC0-B84A-4732-A284-A9EE2CEC4CAA}">
  <dimension ref="A1:X53"/>
  <sheetViews>
    <sheetView workbookViewId="0">
      <pane xSplit="24" ySplit="2" topLeftCell="Y3" activePane="bottomRight" state="frozen"/>
      <selection pane="topRight"/>
      <selection pane="bottomLeft"/>
      <selection pane="bottomRight" activeCell="J39" sqref="J39"/>
    </sheetView>
  </sheetViews>
  <sheetFormatPr defaultRowHeight="15" x14ac:dyDescent="0.25"/>
  <cols>
    <col min="3" max="3" width="32.28515625" customWidth="1"/>
    <col min="4" max="4" width="11.85546875" style="25" bestFit="1" customWidth="1"/>
    <col min="5" max="5" width="11.42578125" bestFit="1" customWidth="1"/>
    <col min="6" max="6" width="10" customWidth="1"/>
    <col min="7" max="8" width="10.28515625" bestFit="1" customWidth="1"/>
    <col min="9" max="9" width="8.7109375" bestFit="1" customWidth="1"/>
    <col min="13" max="14" width="10.28515625" bestFit="1" customWidth="1"/>
    <col min="16" max="16" width="10.28515625" bestFit="1" customWidth="1"/>
  </cols>
  <sheetData>
    <row r="1" spans="1:24" x14ac:dyDescent="0.25">
      <c r="A1" s="8"/>
      <c r="B1" s="8"/>
      <c r="C1" s="8"/>
      <c r="D1" s="22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45" x14ac:dyDescent="0.25">
      <c r="A2" s="8"/>
      <c r="B2" s="8"/>
      <c r="C2" s="8"/>
      <c r="D2" s="22"/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  <c r="O2" s="9" t="s">
        <v>27</v>
      </c>
      <c r="P2" s="9" t="s">
        <v>28</v>
      </c>
      <c r="Q2" s="10" t="s">
        <v>29</v>
      </c>
      <c r="R2" s="10" t="s">
        <v>30</v>
      </c>
      <c r="S2" s="10" t="s">
        <v>31</v>
      </c>
      <c r="T2" s="10" t="s">
        <v>32</v>
      </c>
      <c r="U2" s="10" t="s">
        <v>33</v>
      </c>
      <c r="V2" s="10" t="s">
        <v>34</v>
      </c>
      <c r="W2" s="10" t="s">
        <v>35</v>
      </c>
      <c r="X2" s="9">
        <v>2016</v>
      </c>
    </row>
    <row r="3" spans="1:24" x14ac:dyDescent="0.25">
      <c r="A3" s="8"/>
      <c r="B3" s="8"/>
      <c r="C3" s="8" t="s">
        <v>36</v>
      </c>
      <c r="D3" s="22">
        <v>26381.74</v>
      </c>
      <c r="E3" s="11">
        <v>10366.82</v>
      </c>
      <c r="F3" s="11">
        <v>9087.2999999999993</v>
      </c>
      <c r="G3" s="11">
        <v>4168.17</v>
      </c>
      <c r="H3" s="11">
        <v>2759.45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25">
      <c r="A4" s="12"/>
      <c r="B4" s="12"/>
      <c r="C4" s="12" t="s">
        <v>37</v>
      </c>
      <c r="D4" s="23">
        <f>SUM(D6:D54)</f>
        <v>86209.285999999993</v>
      </c>
      <c r="E4" s="13">
        <v>8520.7199999999993</v>
      </c>
      <c r="F4" s="13">
        <v>7824.76</v>
      </c>
      <c r="G4" s="13">
        <v>3929.92</v>
      </c>
      <c r="H4" s="13">
        <v>7031.07</v>
      </c>
      <c r="I4" s="13">
        <v>705.07</v>
      </c>
      <c r="J4" s="13">
        <v>199.84</v>
      </c>
      <c r="K4" s="13">
        <v>701.08</v>
      </c>
      <c r="L4" s="13">
        <v>282</v>
      </c>
      <c r="M4" s="13">
        <v>1216.3399999999999</v>
      </c>
      <c r="N4" s="13">
        <v>3311.71</v>
      </c>
      <c r="O4" s="13">
        <v>7</v>
      </c>
      <c r="P4" s="13">
        <v>1077</v>
      </c>
      <c r="Q4" s="12"/>
      <c r="R4" s="12"/>
      <c r="S4" s="12"/>
      <c r="T4" s="12"/>
      <c r="U4" s="12"/>
      <c r="V4" s="12"/>
      <c r="W4" s="12"/>
      <c r="X4" s="12"/>
    </row>
    <row r="5" spans="1:24" x14ac:dyDescent="0.25">
      <c r="A5" s="8"/>
      <c r="B5" s="8"/>
      <c r="C5" s="8"/>
      <c r="D5" s="22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x14ac:dyDescent="0.25">
      <c r="A6" s="8"/>
      <c r="B6" s="8"/>
      <c r="C6" s="8" t="s">
        <v>38</v>
      </c>
      <c r="D6" s="22">
        <v>7800</v>
      </c>
      <c r="E6" s="11">
        <v>3900</v>
      </c>
      <c r="F6" s="8"/>
      <c r="G6" s="8"/>
      <c r="H6" s="11">
        <v>3900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25">
      <c r="A7" s="8"/>
      <c r="B7" s="8"/>
      <c r="C7" s="8" t="s">
        <v>39</v>
      </c>
      <c r="D7" s="22">
        <f>1084.17</f>
        <v>1084.17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x14ac:dyDescent="0.25">
      <c r="A8" s="8"/>
      <c r="B8" s="8"/>
      <c r="C8" s="8" t="s">
        <v>40</v>
      </c>
      <c r="D8" s="22" t="s">
        <v>41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x14ac:dyDescent="0.25">
      <c r="A9" s="8"/>
      <c r="B9" s="8"/>
      <c r="C9" s="8" t="s">
        <v>42</v>
      </c>
      <c r="D9" s="22">
        <f>SUM(E9:I9)+225+930.91</f>
        <v>3514.16</v>
      </c>
      <c r="E9" s="11">
        <v>474.05</v>
      </c>
      <c r="F9" s="11">
        <v>471.05</v>
      </c>
      <c r="G9" s="11">
        <v>471.05</v>
      </c>
      <c r="H9" s="11">
        <v>471.05</v>
      </c>
      <c r="I9" s="11">
        <v>471.05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x14ac:dyDescent="0.25">
      <c r="A10" s="8"/>
      <c r="B10" s="8"/>
      <c r="C10" t="s">
        <v>43</v>
      </c>
      <c r="D10" s="22">
        <v>900</v>
      </c>
      <c r="E10" s="11"/>
      <c r="F10" s="11"/>
      <c r="G10" s="11"/>
      <c r="H10" s="11"/>
      <c r="I10" s="1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x14ac:dyDescent="0.25">
      <c r="A11" s="8"/>
      <c r="B11" s="8"/>
      <c r="C11" t="s">
        <v>44</v>
      </c>
      <c r="D11" s="22">
        <f>SUM(E11:H11)</f>
        <v>540</v>
      </c>
      <c r="E11" s="11">
        <v>135</v>
      </c>
      <c r="F11" s="11">
        <v>135</v>
      </c>
      <c r="G11" s="11">
        <v>135</v>
      </c>
      <c r="H11" s="11">
        <v>135</v>
      </c>
      <c r="I11" s="1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x14ac:dyDescent="0.25">
      <c r="A12" s="8"/>
      <c r="B12" s="8"/>
      <c r="C12" s="8" t="s">
        <v>45</v>
      </c>
      <c r="D12" s="22">
        <f>476.95</f>
        <v>476.95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x14ac:dyDescent="0.25">
      <c r="A13" s="8"/>
      <c r="B13" s="8"/>
      <c r="C13" s="8" t="s">
        <v>46</v>
      </c>
      <c r="D13" s="22">
        <v>422.58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x14ac:dyDescent="0.25">
      <c r="A14" s="8"/>
      <c r="B14" s="8"/>
      <c r="C14" s="8"/>
      <c r="D14" s="22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x14ac:dyDescent="0.25">
      <c r="A15" s="8"/>
      <c r="B15" s="8"/>
      <c r="C15" s="8" t="s">
        <v>47</v>
      </c>
      <c r="D15" s="22">
        <v>9325.49</v>
      </c>
      <c r="E15" s="11">
        <v>1942.18</v>
      </c>
      <c r="F15" s="11">
        <v>2344.46</v>
      </c>
      <c r="G15" s="11">
        <v>385.9</v>
      </c>
      <c r="H15" s="8"/>
      <c r="I15" s="8"/>
      <c r="J15" s="8"/>
      <c r="K15" s="11">
        <v>341.24</v>
      </c>
      <c r="L15" s="8"/>
      <c r="M15" s="8"/>
      <c r="N15" s="11">
        <v>3311.71</v>
      </c>
      <c r="O15" s="8"/>
      <c r="P15" s="11">
        <v>1000</v>
      </c>
      <c r="Q15" s="8"/>
      <c r="R15" s="8"/>
      <c r="S15" s="8"/>
      <c r="T15" s="8"/>
      <c r="U15" s="8"/>
      <c r="V15" s="8"/>
      <c r="W15" s="8"/>
      <c r="X15" s="8"/>
    </row>
    <row r="16" spans="1:24" x14ac:dyDescent="0.25">
      <c r="A16" s="8"/>
      <c r="B16" s="8"/>
      <c r="C16" s="8" t="s">
        <v>48</v>
      </c>
      <c r="D16" s="22">
        <v>3056.02</v>
      </c>
      <c r="E16" s="11">
        <v>1303.2</v>
      </c>
      <c r="F16" s="11">
        <v>1044.17</v>
      </c>
      <c r="G16" s="8">
        <v>432.3</v>
      </c>
      <c r="H16" s="11">
        <v>276.35000000000002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x14ac:dyDescent="0.25">
      <c r="A17" s="8"/>
      <c r="B17" s="8"/>
      <c r="C17" s="8" t="s">
        <v>49</v>
      </c>
      <c r="D17" s="22">
        <v>625</v>
      </c>
      <c r="E17" s="11">
        <v>125</v>
      </c>
      <c r="F17" s="11">
        <v>125</v>
      </c>
      <c r="G17" s="11">
        <v>125</v>
      </c>
      <c r="H17" s="8"/>
      <c r="I17" s="8"/>
      <c r="J17" s="8"/>
      <c r="K17" s="11">
        <v>125</v>
      </c>
      <c r="L17" s="11">
        <v>125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x14ac:dyDescent="0.25">
      <c r="A18" s="8"/>
      <c r="B18" s="8"/>
      <c r="C18" s="8"/>
      <c r="D18" s="22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25">
      <c r="A19" s="8"/>
      <c r="B19" s="8"/>
      <c r="C19" s="8" t="s">
        <v>50</v>
      </c>
      <c r="D19" s="22">
        <f>SUM(E19:H19)+418+239.94+102.16</f>
        <v>11684.576000000001</v>
      </c>
      <c r="E19" s="11">
        <f>300.19+0.4*E3</f>
        <v>4446.9179999999997</v>
      </c>
      <c r="F19" s="11">
        <f>0.4*F3</f>
        <v>3634.92</v>
      </c>
      <c r="G19" s="11">
        <f>21.01+0.4*G3</f>
        <v>1688.278</v>
      </c>
      <c r="H19" s="11">
        <f>50.58+0.4*H3</f>
        <v>1154.3599999999999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x14ac:dyDescent="0.25">
      <c r="A20" s="8"/>
      <c r="B20" s="8"/>
      <c r="C20" s="8" t="s">
        <v>51</v>
      </c>
      <c r="D20" s="22">
        <v>115.38</v>
      </c>
      <c r="E20" s="11">
        <v>94.62</v>
      </c>
      <c r="F20" s="11">
        <v>20.76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x14ac:dyDescent="0.25">
      <c r="A21" s="8"/>
      <c r="B21" s="8"/>
      <c r="C21" s="8" t="s">
        <v>52</v>
      </c>
      <c r="D21" s="22">
        <f>21.9</f>
        <v>21.9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x14ac:dyDescent="0.25">
      <c r="A22" s="8"/>
      <c r="B22" s="8"/>
      <c r="C22" s="14" t="s">
        <v>53</v>
      </c>
      <c r="D22" s="22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x14ac:dyDescent="0.25">
      <c r="A23" s="8"/>
      <c r="B23" s="8"/>
      <c r="C23" s="15" t="s">
        <v>29</v>
      </c>
      <c r="D23" s="22">
        <f>912.6+M23</f>
        <v>2051.1</v>
      </c>
      <c r="E23" s="8"/>
      <c r="F23" s="8"/>
      <c r="G23" s="8"/>
      <c r="H23" s="8"/>
      <c r="I23" s="8"/>
      <c r="J23" s="8"/>
      <c r="K23" s="8"/>
      <c r="L23" s="8"/>
      <c r="M23" s="11">
        <v>1138.5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x14ac:dyDescent="0.25">
      <c r="A24" s="8"/>
      <c r="B24" s="8"/>
      <c r="C24" s="15" t="s">
        <v>54</v>
      </c>
      <c r="D24" s="24">
        <v>56.59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x14ac:dyDescent="0.25">
      <c r="A25" s="8"/>
      <c r="B25" s="8"/>
      <c r="C25" s="15" t="s">
        <v>55</v>
      </c>
      <c r="D25" s="24">
        <v>13.23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x14ac:dyDescent="0.25">
      <c r="A26" s="8"/>
      <c r="B26" s="8"/>
      <c r="C26" s="8" t="s">
        <v>56</v>
      </c>
      <c r="D26" s="24">
        <v>1.98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x14ac:dyDescent="0.25">
      <c r="A27" s="8"/>
      <c r="B27" s="8"/>
      <c r="C27" s="8" t="s">
        <v>57</v>
      </c>
      <c r="D27" s="22">
        <v>7131</v>
      </c>
      <c r="E27" s="8"/>
      <c r="F27" s="11">
        <v>2971</v>
      </c>
      <c r="G27" s="11">
        <v>2085</v>
      </c>
      <c r="H27" s="11">
        <v>2075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x14ac:dyDescent="0.25">
      <c r="A28" s="8"/>
      <c r="B28" s="8"/>
      <c r="C28" s="8" t="s">
        <v>58</v>
      </c>
      <c r="D28" s="22">
        <v>464.27</v>
      </c>
      <c r="E28" s="8"/>
      <c r="F28" s="11">
        <v>210.07</v>
      </c>
      <c r="G28" s="11">
        <v>42.84</v>
      </c>
      <c r="H28" s="11">
        <v>42.84</v>
      </c>
      <c r="I28" s="11">
        <v>10</v>
      </c>
      <c r="J28" s="11">
        <v>52.84</v>
      </c>
      <c r="K28" s="11">
        <v>52.84</v>
      </c>
      <c r="L28" s="11">
        <v>10</v>
      </c>
      <c r="M28" s="11">
        <v>42.84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x14ac:dyDescent="0.25">
      <c r="A29" s="8"/>
      <c r="B29" s="8"/>
      <c r="C29" s="8" t="s">
        <v>59</v>
      </c>
      <c r="D29" s="22">
        <v>1408.5</v>
      </c>
      <c r="E29" s="11">
        <v>80</v>
      </c>
      <c r="F29" s="11">
        <v>465</v>
      </c>
      <c r="G29" s="11">
        <v>182</v>
      </c>
      <c r="H29" s="11">
        <v>42</v>
      </c>
      <c r="I29" s="11">
        <v>44.5</v>
      </c>
      <c r="J29" s="11">
        <v>147</v>
      </c>
      <c r="K29" s="11">
        <v>182</v>
      </c>
      <c r="L29" s="11">
        <v>147</v>
      </c>
      <c r="M29" s="11">
        <v>35</v>
      </c>
      <c r="N29" s="8" t="s">
        <v>41</v>
      </c>
      <c r="O29" s="11">
        <v>7</v>
      </c>
      <c r="P29" s="11">
        <v>77</v>
      </c>
      <c r="Q29" s="8"/>
      <c r="R29" s="8"/>
      <c r="S29" s="8"/>
      <c r="T29" s="8"/>
      <c r="U29" s="8"/>
      <c r="V29" s="8"/>
      <c r="W29" s="8"/>
      <c r="X29" s="8"/>
    </row>
    <row r="30" spans="1:24" x14ac:dyDescent="0.25">
      <c r="A30" s="8"/>
      <c r="B30" s="8"/>
      <c r="C30" s="8" t="s">
        <v>60</v>
      </c>
      <c r="D30" s="22">
        <f>74.48+488.4+97.88+366.67+332.46+573.33+40+659.98+500</f>
        <v>3133.2000000000003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x14ac:dyDescent="0.25">
      <c r="A31" s="8"/>
      <c r="B31" s="8"/>
      <c r="C31" s="8" t="s">
        <v>61</v>
      </c>
      <c r="D31" s="22">
        <f>SUM(E31:H31)</f>
        <v>284.39999999999998</v>
      </c>
      <c r="E31" s="8">
        <v>71.099999999999994</v>
      </c>
      <c r="F31" s="8">
        <v>71.099999999999994</v>
      </c>
      <c r="G31" s="8">
        <v>71.099999999999994</v>
      </c>
      <c r="H31" s="8">
        <v>71.099999999999994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x14ac:dyDescent="0.25">
      <c r="A32" s="8"/>
      <c r="B32" s="8"/>
      <c r="C32" s="8" t="s">
        <v>62</v>
      </c>
      <c r="D32" s="22">
        <f>645</f>
        <v>645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x14ac:dyDescent="0.25">
      <c r="A33" s="8"/>
      <c r="B33" s="8"/>
      <c r="C33" s="8"/>
      <c r="D33" s="22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x14ac:dyDescent="0.25">
      <c r="A34" s="8"/>
      <c r="B34" s="8"/>
      <c r="C34" s="8" t="s">
        <v>63</v>
      </c>
      <c r="D34" s="22">
        <v>360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x14ac:dyDescent="0.25">
      <c r="A35" s="8"/>
      <c r="B35" s="8"/>
      <c r="C35" s="8" t="s">
        <v>64</v>
      </c>
      <c r="D35" s="22">
        <v>884.19</v>
      </c>
      <c r="E35" s="11">
        <v>173.35</v>
      </c>
      <c r="F35" s="11">
        <v>173.25</v>
      </c>
      <c r="G35" s="11">
        <v>184.82</v>
      </c>
      <c r="H35" s="11">
        <v>173.25</v>
      </c>
      <c r="I35" s="11">
        <v>179.52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x14ac:dyDescent="0.25">
      <c r="A36" s="8"/>
      <c r="B36" s="8"/>
      <c r="C36" s="8" t="s">
        <v>65</v>
      </c>
      <c r="D36" s="22">
        <v>420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x14ac:dyDescent="0.25">
      <c r="A37" s="8"/>
      <c r="B37" s="8">
        <v>0.5</v>
      </c>
      <c r="C37" s="8" t="s">
        <v>66</v>
      </c>
      <c r="D37" s="22">
        <v>64.069999999999993</v>
      </c>
      <c r="E37" s="11">
        <v>128.13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x14ac:dyDescent="0.25">
      <c r="A38" s="8"/>
      <c r="B38" s="8"/>
      <c r="C38" s="8" t="s">
        <v>67</v>
      </c>
      <c r="D38" s="22" t="s">
        <v>41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x14ac:dyDescent="0.25">
      <c r="A39" s="8"/>
      <c r="B39" s="8"/>
      <c r="C39" s="8"/>
      <c r="D39" s="22" t="s">
        <v>41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x14ac:dyDescent="0.25">
      <c r="A40" s="8"/>
      <c r="B40" s="8"/>
      <c r="C40" s="8"/>
      <c r="D40" s="22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x14ac:dyDescent="0.25">
      <c r="A41" s="8"/>
      <c r="B41" s="8"/>
      <c r="C41" s="8"/>
      <c r="D41" s="22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x14ac:dyDescent="0.25">
      <c r="A42" s="8"/>
      <c r="B42" s="8"/>
      <c r="C42" s="8" t="s">
        <v>68</v>
      </c>
      <c r="D42" s="22">
        <v>750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x14ac:dyDescent="0.25">
      <c r="A43" s="8"/>
      <c r="B43" s="8"/>
      <c r="C43" s="8" t="s">
        <v>69</v>
      </c>
      <c r="D43" s="22">
        <f>1000+775</f>
        <v>1775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x14ac:dyDescent="0.25">
      <c r="A44" s="8"/>
      <c r="B44" s="8"/>
      <c r="C44" s="8" t="s">
        <v>70</v>
      </c>
      <c r="D44" s="22">
        <f>154.34+1600+1592</f>
        <v>3346.34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x14ac:dyDescent="0.25">
      <c r="A45" s="8"/>
      <c r="B45" s="8"/>
      <c r="C45" s="8" t="s">
        <v>71</v>
      </c>
      <c r="D45" s="22">
        <v>306.45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x14ac:dyDescent="0.25">
      <c r="A46" s="8"/>
      <c r="B46" s="8"/>
      <c r="C46" s="8" t="s">
        <v>72</v>
      </c>
      <c r="D46" s="22">
        <v>213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x14ac:dyDescent="0.25">
      <c r="A47" s="8"/>
      <c r="B47" s="8"/>
      <c r="C47" s="8" t="s">
        <v>73</v>
      </c>
      <c r="D47" s="22">
        <v>2000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x14ac:dyDescent="0.25">
      <c r="A48" s="8"/>
      <c r="B48" s="8"/>
      <c r="C48" s="8" t="s">
        <v>74</v>
      </c>
      <c r="D48" s="22">
        <v>1000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x14ac:dyDescent="0.25">
      <c r="A49" s="8"/>
      <c r="B49" s="8"/>
      <c r="C49" s="8" t="s">
        <v>75</v>
      </c>
      <c r="D49" s="22">
        <v>210.99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x14ac:dyDescent="0.25">
      <c r="A50" s="8"/>
      <c r="B50" s="8"/>
      <c r="C50" s="8" t="s">
        <v>76</v>
      </c>
      <c r="D50" s="22">
        <v>23.75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2" spans="1:24" x14ac:dyDescent="0.25">
      <c r="C52" t="s">
        <v>77</v>
      </c>
      <c r="D52" s="25">
        <v>2600</v>
      </c>
    </row>
    <row r="53" spans="1:24" x14ac:dyDescent="0.25">
      <c r="C53" t="s">
        <v>78</v>
      </c>
      <c r="D53" s="25">
        <v>17500</v>
      </c>
    </row>
  </sheetData>
  <pageMargins left="0.7" right="0.7" top="0.75" bottom="0.75" header="0.3" footer="0.3"/>
  <pageSetup fitToWidth="0" fitToHeight="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953B-A648-48C4-AA01-152E9D7B00F9}">
  <dimension ref="A1:Q63"/>
  <sheetViews>
    <sheetView workbookViewId="0">
      <pane xSplit="17" ySplit="2" topLeftCell="R3" activePane="bottomRight" state="frozen"/>
      <selection pane="topRight"/>
      <selection pane="bottomLeft"/>
      <selection pane="bottomRight" activeCell="D4" sqref="D4"/>
    </sheetView>
  </sheetViews>
  <sheetFormatPr defaultRowHeight="15" x14ac:dyDescent="0.25"/>
  <cols>
    <col min="3" max="3" width="25.7109375" customWidth="1"/>
    <col min="4" max="4" width="11.85546875" bestFit="1" customWidth="1"/>
    <col min="6" max="16" width="11.42578125" bestFit="1" customWidth="1"/>
  </cols>
  <sheetData>
    <row r="1" spans="1:17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5">
      <c r="A2" s="8"/>
      <c r="B2" s="8"/>
      <c r="C2" s="8"/>
      <c r="D2" s="8"/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  <c r="O2" s="9" t="s">
        <v>27</v>
      </c>
      <c r="P2" s="9" t="s">
        <v>28</v>
      </c>
      <c r="Q2" s="9"/>
    </row>
    <row r="3" spans="1:17" x14ac:dyDescent="0.25">
      <c r="A3" s="8"/>
      <c r="B3" s="8"/>
      <c r="C3" s="8"/>
      <c r="D3" s="8"/>
      <c r="E3" s="16"/>
      <c r="F3" s="17"/>
      <c r="G3" s="17"/>
      <c r="H3" s="17"/>
      <c r="I3" s="16"/>
      <c r="J3" s="17"/>
      <c r="K3" s="17"/>
      <c r="L3" s="17"/>
      <c r="M3" s="16"/>
      <c r="N3" s="16"/>
      <c r="O3" s="17"/>
      <c r="P3" s="17"/>
      <c r="Q3" s="17"/>
    </row>
    <row r="4" spans="1:17" x14ac:dyDescent="0.25">
      <c r="A4" s="18"/>
      <c r="B4" s="18"/>
      <c r="C4" s="18" t="s">
        <v>79</v>
      </c>
      <c r="D4" s="19">
        <v>335686.39</v>
      </c>
      <c r="E4" s="18"/>
      <c r="F4" s="19">
        <v>14642.86</v>
      </c>
      <c r="G4" s="19">
        <v>15000</v>
      </c>
      <c r="H4" s="19">
        <v>15000</v>
      </c>
      <c r="I4" s="19">
        <v>15000</v>
      </c>
      <c r="J4" s="19">
        <v>19276.36</v>
      </c>
      <c r="K4" s="19">
        <v>45348.54</v>
      </c>
      <c r="L4" s="19">
        <v>43020</v>
      </c>
      <c r="M4" s="19">
        <v>51406.16</v>
      </c>
      <c r="N4" s="19">
        <v>43020</v>
      </c>
      <c r="O4" s="19">
        <v>42616.56</v>
      </c>
      <c r="P4" s="19">
        <v>31355.91</v>
      </c>
      <c r="Q4" s="18"/>
    </row>
    <row r="5" spans="1:17" x14ac:dyDescent="0.25">
      <c r="A5" s="8"/>
      <c r="B5" s="8"/>
      <c r="C5" s="8"/>
      <c r="D5" s="14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5">
      <c r="A6" s="12"/>
      <c r="B6" s="12"/>
      <c r="C6" s="12" t="s">
        <v>37</v>
      </c>
      <c r="D6" s="13">
        <f>SUM(D8:D85)</f>
        <v>90287.123900000006</v>
      </c>
      <c r="E6" s="13">
        <v>776.36</v>
      </c>
      <c r="F6" s="13">
        <v>744.17</v>
      </c>
      <c r="G6" s="13">
        <v>743.17</v>
      </c>
      <c r="H6" s="13">
        <v>658.29</v>
      </c>
      <c r="I6" s="13">
        <v>846.03</v>
      </c>
      <c r="J6" s="13">
        <v>5515.75</v>
      </c>
      <c r="K6" s="13">
        <v>7067.12</v>
      </c>
      <c r="L6" s="13">
        <v>8018.57</v>
      </c>
      <c r="M6" s="13">
        <v>7908.58</v>
      </c>
      <c r="N6" s="13">
        <v>7914.79</v>
      </c>
      <c r="O6" s="13">
        <v>7968.73</v>
      </c>
      <c r="P6" s="13">
        <v>8107.66</v>
      </c>
      <c r="Q6" s="12"/>
    </row>
    <row r="7" spans="1:17" x14ac:dyDescent="0.25">
      <c r="A7" s="26" t="s">
        <v>80</v>
      </c>
      <c r="B7" s="26"/>
      <c r="C7" s="20">
        <v>0.17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25">
      <c r="A8" s="8"/>
      <c r="B8" s="8"/>
      <c r="C8" s="8" t="s">
        <v>81</v>
      </c>
      <c r="D8" s="11">
        <f>17619.67*C7</f>
        <v>2995.3438999999998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5">
      <c r="A9" s="8"/>
      <c r="B9" s="8"/>
      <c r="C9" s="8" t="s">
        <v>39</v>
      </c>
      <c r="D9" s="11">
        <v>372.9</v>
      </c>
      <c r="E9" s="11">
        <v>276.41000000000003</v>
      </c>
      <c r="F9" s="11">
        <v>238.3</v>
      </c>
      <c r="G9" s="11">
        <v>189.33</v>
      </c>
      <c r="H9" s="11">
        <v>144.27000000000001</v>
      </c>
      <c r="I9" s="11">
        <v>105.99</v>
      </c>
      <c r="J9" s="11">
        <v>91.06</v>
      </c>
      <c r="K9" s="11">
        <v>88.44</v>
      </c>
      <c r="L9" s="11">
        <v>109.39</v>
      </c>
      <c r="M9" s="11">
        <v>175.01</v>
      </c>
      <c r="N9" s="11">
        <v>230.13</v>
      </c>
      <c r="O9" s="11">
        <v>275.51</v>
      </c>
      <c r="P9" s="11">
        <v>313.56</v>
      </c>
      <c r="Q9" s="8"/>
    </row>
    <row r="10" spans="1:17" x14ac:dyDescent="0.25">
      <c r="A10" s="8"/>
      <c r="B10" s="8"/>
      <c r="C10" s="8" t="s">
        <v>40</v>
      </c>
      <c r="D10" s="11">
        <v>99.66</v>
      </c>
      <c r="E10" s="8"/>
      <c r="F10" s="8"/>
      <c r="G10" s="11">
        <v>92.65</v>
      </c>
      <c r="H10" s="11">
        <v>58.11</v>
      </c>
      <c r="I10" s="8"/>
      <c r="J10" s="11">
        <v>133.97</v>
      </c>
      <c r="K10" s="11">
        <v>101.01</v>
      </c>
      <c r="L10" s="11">
        <v>61.37</v>
      </c>
      <c r="M10" s="11">
        <v>74.86</v>
      </c>
      <c r="N10" s="8"/>
      <c r="O10" s="8"/>
      <c r="P10" s="11">
        <v>75.989999999999995</v>
      </c>
      <c r="Q10" s="8"/>
    </row>
    <row r="11" spans="1:17" x14ac:dyDescent="0.25">
      <c r="A11" s="8"/>
      <c r="B11" s="8"/>
      <c r="C11" s="8" t="s">
        <v>82</v>
      </c>
      <c r="D11" s="11">
        <v>378.22</v>
      </c>
      <c r="E11" s="11">
        <v>226.18</v>
      </c>
      <c r="F11" s="11">
        <v>226.18</v>
      </c>
      <c r="G11" s="11">
        <v>157</v>
      </c>
      <c r="H11" s="11">
        <v>157</v>
      </c>
      <c r="I11" s="11">
        <v>210.95</v>
      </c>
      <c r="J11" s="11">
        <v>210.95</v>
      </c>
      <c r="K11" s="11">
        <v>198.11</v>
      </c>
      <c r="L11" s="11">
        <v>198.11</v>
      </c>
      <c r="M11" s="11">
        <v>166.77</v>
      </c>
      <c r="N11" s="11">
        <v>166.77</v>
      </c>
      <c r="O11" s="11">
        <v>175.67</v>
      </c>
      <c r="P11" s="11">
        <v>175.67</v>
      </c>
      <c r="Q11" s="8"/>
    </row>
    <row r="12" spans="1:17" x14ac:dyDescent="0.25">
      <c r="A12" s="8"/>
      <c r="B12" s="8"/>
      <c r="C12" s="8" t="s">
        <v>83</v>
      </c>
      <c r="D12" s="11">
        <v>100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A13" s="8"/>
      <c r="B13" s="8"/>
      <c r="C13" s="8" t="s">
        <v>84</v>
      </c>
      <c r="D13" s="11">
        <v>100</v>
      </c>
      <c r="E13" s="11">
        <v>140</v>
      </c>
      <c r="F13" s="11">
        <v>140</v>
      </c>
      <c r="G13" s="11">
        <v>140</v>
      </c>
      <c r="H13" s="11">
        <v>140</v>
      </c>
      <c r="I13" s="11">
        <v>140</v>
      </c>
      <c r="J13" s="11">
        <v>140</v>
      </c>
      <c r="K13" s="11">
        <v>140</v>
      </c>
      <c r="L13" s="11">
        <v>140</v>
      </c>
      <c r="M13" s="11">
        <v>140</v>
      </c>
      <c r="N13" s="11">
        <v>140</v>
      </c>
      <c r="O13" s="11">
        <v>140</v>
      </c>
      <c r="P13" s="11">
        <v>140</v>
      </c>
      <c r="Q13" s="8"/>
    </row>
    <row r="14" spans="1:17" x14ac:dyDescent="0.25">
      <c r="A14" s="8"/>
      <c r="B14" s="8"/>
      <c r="C14" s="8" t="s">
        <v>85</v>
      </c>
      <c r="D14" s="11">
        <f>1402*C7</f>
        <v>238.34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5">
      <c r="A15" s="8"/>
      <c r="B15" s="8"/>
      <c r="C15" s="8" t="s">
        <v>86</v>
      </c>
      <c r="D15" s="11">
        <v>850</v>
      </c>
      <c r="E15" s="8"/>
      <c r="F15" s="8"/>
      <c r="G15" s="8"/>
      <c r="H15" s="8"/>
      <c r="I15" s="8"/>
      <c r="J15" s="8"/>
      <c r="K15" s="8"/>
      <c r="L15" s="8"/>
      <c r="M15" s="11">
        <v>30</v>
      </c>
      <c r="N15" s="11">
        <v>30</v>
      </c>
      <c r="O15" s="11">
        <v>30</v>
      </c>
      <c r="P15" s="11">
        <v>30</v>
      </c>
      <c r="Q15" s="8"/>
    </row>
    <row r="16" spans="1:17" x14ac:dyDescent="0.25">
      <c r="A16" s="8"/>
      <c r="B16" s="8"/>
      <c r="C16" s="8" t="s">
        <v>87</v>
      </c>
      <c r="D16" s="11">
        <v>1600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5">
      <c r="A17" s="8"/>
      <c r="B17" s="8"/>
      <c r="C17" s="8" t="s">
        <v>44</v>
      </c>
      <c r="D17" s="11">
        <f>C7*SUM(E17:P17)</f>
        <v>229.50000000000003</v>
      </c>
      <c r="E17" s="8"/>
      <c r="F17" s="22"/>
      <c r="G17" s="22">
        <v>135</v>
      </c>
      <c r="H17" s="22">
        <v>135</v>
      </c>
      <c r="I17" s="22">
        <v>135</v>
      </c>
      <c r="J17" s="22">
        <v>135</v>
      </c>
      <c r="K17" s="22">
        <v>135</v>
      </c>
      <c r="L17" s="22">
        <v>135</v>
      </c>
      <c r="M17" s="22">
        <v>135</v>
      </c>
      <c r="N17" s="22">
        <v>135</v>
      </c>
      <c r="O17" s="22">
        <v>135</v>
      </c>
      <c r="P17" s="22">
        <v>135</v>
      </c>
      <c r="Q17" s="8"/>
    </row>
    <row r="18" spans="1:17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x14ac:dyDescent="0.25">
      <c r="A19" s="8"/>
      <c r="B19" s="8"/>
      <c r="C19" s="8" t="s">
        <v>88</v>
      </c>
      <c r="D19" s="11">
        <v>19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1">
        <v>19</v>
      </c>
      <c r="Q19" s="8"/>
    </row>
    <row r="20" spans="1:17" x14ac:dyDescent="0.25">
      <c r="A20" s="8"/>
      <c r="B20" s="8"/>
      <c r="C20" s="8" t="s">
        <v>89</v>
      </c>
      <c r="D20" s="8">
        <v>100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x14ac:dyDescent="0.25">
      <c r="A23" s="8"/>
      <c r="B23" s="8"/>
      <c r="C23" s="8" t="s">
        <v>47</v>
      </c>
      <c r="D23" s="8" t="s">
        <v>41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x14ac:dyDescent="0.25">
      <c r="A24" s="8"/>
      <c r="B24" s="8"/>
      <c r="C24" s="8" t="s">
        <v>49</v>
      </c>
      <c r="D24" s="8" t="s">
        <v>41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x14ac:dyDescent="0.25">
      <c r="A25" s="8"/>
      <c r="B25" s="8"/>
      <c r="C25" s="8" t="s">
        <v>90</v>
      </c>
      <c r="D25" s="8">
        <v>2000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x14ac:dyDescent="0.25">
      <c r="A27" s="8"/>
      <c r="B27" s="8"/>
      <c r="C27" s="8" t="s">
        <v>51</v>
      </c>
      <c r="D27" s="8">
        <v>500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x14ac:dyDescent="0.25">
      <c r="A28" s="8"/>
      <c r="B28" s="8"/>
      <c r="C28" s="8" t="s">
        <v>52</v>
      </c>
      <c r="D28" s="8">
        <v>500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x14ac:dyDescent="0.25">
      <c r="A29" s="8"/>
      <c r="B29" s="8"/>
      <c r="C29" s="14" t="s">
        <v>53</v>
      </c>
      <c r="D29" s="14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x14ac:dyDescent="0.25">
      <c r="A30" s="8"/>
      <c r="B30" s="8"/>
      <c r="C30" s="8" t="s">
        <v>91</v>
      </c>
      <c r="D30" s="11">
        <v>22960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x14ac:dyDescent="0.25">
      <c r="A31" s="8"/>
      <c r="B31" s="8"/>
      <c r="C31" s="8" t="s">
        <v>92</v>
      </c>
      <c r="D31" s="11">
        <v>21760</v>
      </c>
      <c r="E31" s="8"/>
      <c r="F31" s="8"/>
      <c r="G31" s="8"/>
      <c r="H31" s="8"/>
      <c r="I31" s="8"/>
      <c r="J31" s="11">
        <v>4800</v>
      </c>
      <c r="K31" s="11">
        <v>6400</v>
      </c>
      <c r="L31" s="11">
        <v>7360</v>
      </c>
      <c r="M31" s="11">
        <v>3200</v>
      </c>
      <c r="N31" s="8"/>
      <c r="O31" s="8"/>
      <c r="P31" s="8"/>
      <c r="Q31" s="8"/>
    </row>
    <row r="32" spans="1:17" x14ac:dyDescent="0.25">
      <c r="A32" s="8"/>
      <c r="B32" s="8"/>
      <c r="C32" s="8" t="s">
        <v>93</v>
      </c>
      <c r="D32" s="11">
        <v>25560</v>
      </c>
      <c r="E32" s="8"/>
      <c r="F32" s="8"/>
      <c r="G32" s="8"/>
      <c r="H32" s="8"/>
      <c r="I32" s="8"/>
      <c r="J32" s="8"/>
      <c r="K32" s="8"/>
      <c r="L32" s="8"/>
      <c r="M32" s="11">
        <v>3960</v>
      </c>
      <c r="N32" s="11">
        <v>7200</v>
      </c>
      <c r="O32" s="11">
        <v>7200</v>
      </c>
      <c r="P32" s="11">
        <v>7200</v>
      </c>
      <c r="Q32" s="8"/>
    </row>
    <row r="33" spans="1:17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x14ac:dyDescent="0.25">
      <c r="A35" s="8"/>
      <c r="B35" s="8"/>
      <c r="C35" s="8" t="s">
        <v>63</v>
      </c>
      <c r="D35" s="11">
        <v>360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x14ac:dyDescent="0.25">
      <c r="A36" s="8"/>
      <c r="B36" s="8">
        <v>0.5</v>
      </c>
      <c r="C36" s="8" t="s">
        <v>94</v>
      </c>
      <c r="D36" s="11">
        <v>282.20999999999998</v>
      </c>
      <c r="E36" s="11">
        <v>34.99</v>
      </c>
      <c r="F36" s="11">
        <v>34.99</v>
      </c>
      <c r="G36" s="11">
        <v>34.99</v>
      </c>
      <c r="H36" s="11">
        <v>34.99</v>
      </c>
      <c r="I36" s="11">
        <v>179.52</v>
      </c>
      <c r="J36" s="11">
        <v>34.99</v>
      </c>
      <c r="K36" s="11">
        <v>34.99</v>
      </c>
      <c r="L36" s="11">
        <v>34.99</v>
      </c>
      <c r="M36" s="11">
        <v>34.99</v>
      </c>
      <c r="N36" s="11">
        <v>34.99</v>
      </c>
      <c r="O36" s="11">
        <v>34.99</v>
      </c>
      <c r="P36" s="11">
        <v>34.99</v>
      </c>
      <c r="Q36" s="8"/>
    </row>
    <row r="37" spans="1:17" x14ac:dyDescent="0.25">
      <c r="A37" s="8"/>
      <c r="B37" s="8">
        <v>0.5</v>
      </c>
      <c r="C37" s="8" t="s">
        <v>95</v>
      </c>
      <c r="D37" s="11">
        <v>730.55</v>
      </c>
      <c r="E37" s="11">
        <v>98.78</v>
      </c>
      <c r="F37" s="11">
        <v>104.7</v>
      </c>
      <c r="G37" s="11">
        <v>129.19999999999999</v>
      </c>
      <c r="H37" s="8">
        <v>123.92</v>
      </c>
      <c r="I37" s="8">
        <v>209.57</v>
      </c>
      <c r="J37" s="11">
        <v>104.78</v>
      </c>
      <c r="K37" s="11">
        <v>104.57</v>
      </c>
      <c r="L37" s="11">
        <v>114.71</v>
      </c>
      <c r="M37" s="11">
        <v>126.95</v>
      </c>
      <c r="N37" s="11">
        <v>112.9</v>
      </c>
      <c r="O37" s="11">
        <v>112.56</v>
      </c>
      <c r="P37" s="11">
        <v>118.45</v>
      </c>
      <c r="Q37" s="8"/>
    </row>
    <row r="38" spans="1:17" x14ac:dyDescent="0.25">
      <c r="A38" s="8"/>
      <c r="B38" s="8"/>
      <c r="C38" s="8" t="s">
        <v>67</v>
      </c>
      <c r="D38" s="8" t="s">
        <v>41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x14ac:dyDescent="0.25">
      <c r="A39" s="8"/>
      <c r="B39" s="8"/>
      <c r="C39" s="8" t="s">
        <v>96</v>
      </c>
      <c r="D39" s="11">
        <v>60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8"/>
    </row>
    <row r="40" spans="1:17" x14ac:dyDescent="0.25">
      <c r="A40" s="8"/>
      <c r="B40" s="8"/>
      <c r="C40" s="8" t="s">
        <v>97</v>
      </c>
      <c r="D40" s="11">
        <f>SUM(E40:P40)</f>
        <v>80</v>
      </c>
      <c r="E40" s="22"/>
      <c r="F40" s="22"/>
      <c r="G40" s="22"/>
      <c r="H40" s="22"/>
      <c r="I40" s="22"/>
      <c r="J40" s="22"/>
      <c r="K40" s="22"/>
      <c r="L40" s="22"/>
      <c r="M40" s="22"/>
      <c r="N40" s="22">
        <v>80</v>
      </c>
      <c r="O40" s="22"/>
      <c r="P40" s="22"/>
      <c r="Q40" s="8"/>
    </row>
    <row r="41" spans="1:17" x14ac:dyDescent="0.25">
      <c r="A41" s="8"/>
      <c r="B41" s="8"/>
      <c r="C41" s="8" t="s">
        <v>98</v>
      </c>
      <c r="D41" s="11">
        <f>SUM(E41:P41)</f>
        <v>255.00000000000003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>
        <f>(500+1000)*C7</f>
        <v>255.00000000000003</v>
      </c>
      <c r="P41" s="22"/>
      <c r="Q41" s="8"/>
    </row>
    <row r="42" spans="1:17" x14ac:dyDescent="0.25">
      <c r="A42" s="8"/>
      <c r="B42" s="8"/>
      <c r="C42" s="8" t="s">
        <v>59</v>
      </c>
      <c r="D42" s="11">
        <f t="shared" ref="D42:D47" si="0">SUM(E42:P42)</f>
        <v>7</v>
      </c>
      <c r="E42" s="22"/>
      <c r="F42" s="22"/>
      <c r="G42" s="22"/>
      <c r="H42" s="22"/>
      <c r="I42" s="22">
        <v>7</v>
      </c>
      <c r="J42" s="22"/>
      <c r="K42" s="22"/>
      <c r="L42" s="22"/>
      <c r="M42" s="22"/>
      <c r="N42" s="22"/>
      <c r="O42" s="22"/>
      <c r="P42" s="22"/>
      <c r="Q42" s="8"/>
    </row>
    <row r="43" spans="1:17" x14ac:dyDescent="0.25">
      <c r="A43" s="8"/>
      <c r="B43" s="8"/>
      <c r="C43" s="8"/>
      <c r="D43" s="11">
        <f t="shared" si="0"/>
        <v>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x14ac:dyDescent="0.25">
      <c r="A44" s="8"/>
      <c r="B44" s="8"/>
      <c r="C44" s="8" t="s">
        <v>99</v>
      </c>
      <c r="D44" s="11">
        <f t="shared" si="0"/>
        <v>700</v>
      </c>
      <c r="E44" s="8"/>
      <c r="F44" s="8"/>
      <c r="G44" s="8"/>
      <c r="H44" s="8"/>
      <c r="I44" s="8"/>
      <c r="J44" s="8">
        <v>700</v>
      </c>
      <c r="K44" s="8"/>
      <c r="L44" s="8"/>
      <c r="M44" s="8"/>
      <c r="N44" s="8"/>
      <c r="O44" s="8"/>
      <c r="P44" s="8"/>
      <c r="Q44" s="8"/>
    </row>
    <row r="45" spans="1:17" x14ac:dyDescent="0.25">
      <c r="A45" s="8"/>
      <c r="B45" s="8"/>
      <c r="C45" s="8" t="s">
        <v>70</v>
      </c>
      <c r="D45" s="11">
        <f t="shared" si="0"/>
        <v>700</v>
      </c>
      <c r="E45" s="8"/>
      <c r="F45" s="8"/>
      <c r="G45" s="8"/>
      <c r="H45" s="8"/>
      <c r="I45" s="8">
        <v>700</v>
      </c>
      <c r="J45" s="8"/>
      <c r="K45" s="8"/>
      <c r="L45" s="8"/>
      <c r="M45" s="8"/>
      <c r="N45" s="8"/>
      <c r="O45" s="8"/>
      <c r="P45" s="8"/>
      <c r="Q45" s="8"/>
    </row>
    <row r="46" spans="1:17" x14ac:dyDescent="0.25">
      <c r="A46" s="8"/>
      <c r="B46" s="8"/>
      <c r="C46" s="8" t="s">
        <v>100</v>
      </c>
      <c r="D46" s="11">
        <f t="shared" si="0"/>
        <v>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x14ac:dyDescent="0.25">
      <c r="A47" s="8"/>
      <c r="B47" s="8"/>
      <c r="C47" s="8" t="s">
        <v>101</v>
      </c>
      <c r="D47" s="11">
        <f t="shared" si="0"/>
        <v>1200</v>
      </c>
      <c r="E47" s="8"/>
      <c r="F47" s="8"/>
      <c r="G47" s="8"/>
      <c r="H47" s="8">
        <v>1200</v>
      </c>
      <c r="I47" s="8"/>
      <c r="J47" s="8"/>
      <c r="K47" s="8"/>
      <c r="L47" s="8"/>
      <c r="M47" s="8"/>
      <c r="N47" s="8"/>
      <c r="O47" s="8"/>
      <c r="P47" s="8"/>
      <c r="Q47" s="8"/>
    </row>
    <row r="48" spans="1:17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x14ac:dyDescent="0.25">
      <c r="A52" s="8"/>
      <c r="B52" s="8"/>
      <c r="C52" s="8" t="s">
        <v>102</v>
      </c>
      <c r="D52" s="11">
        <v>2589.4</v>
      </c>
      <c r="E52" s="8">
        <v>200</v>
      </c>
      <c r="F52" s="8">
        <v>400</v>
      </c>
      <c r="G52" s="8">
        <v>460</v>
      </c>
      <c r="H52" s="8">
        <v>400</v>
      </c>
      <c r="I52" s="8">
        <v>440</v>
      </c>
      <c r="J52" s="8">
        <v>440</v>
      </c>
      <c r="K52" s="8">
        <v>400</v>
      </c>
      <c r="L52" s="8">
        <v>460</v>
      </c>
      <c r="M52" s="8">
        <v>420</v>
      </c>
      <c r="N52" s="8">
        <v>440</v>
      </c>
      <c r="O52" s="8">
        <v>400</v>
      </c>
      <c r="P52" s="8">
        <v>380</v>
      </c>
      <c r="Q52" s="8"/>
    </row>
    <row r="53" spans="1:17" x14ac:dyDescent="0.25">
      <c r="A53" s="8"/>
      <c r="B53" s="8" t="s">
        <v>103</v>
      </c>
      <c r="C53" s="8">
        <v>0.53500000000000003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x14ac:dyDescent="0.25">
      <c r="A55" s="8"/>
      <c r="B55" s="8"/>
      <c r="C55" s="14" t="s">
        <v>104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x14ac:dyDescent="0.25">
      <c r="A56" s="8"/>
      <c r="B56" s="8"/>
      <c r="C56" s="8" t="s">
        <v>105</v>
      </c>
      <c r="D56" s="8">
        <v>400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x14ac:dyDescent="0.25">
      <c r="A57" s="8"/>
      <c r="B57" s="8"/>
      <c r="C57" s="8" t="s">
        <v>106</v>
      </c>
      <c r="D57" s="8">
        <v>150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x14ac:dyDescent="0.25">
      <c r="A58" s="8"/>
      <c r="B58" s="8"/>
      <c r="C58" s="8" t="s">
        <v>107</v>
      </c>
      <c r="D58" s="8">
        <v>400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x14ac:dyDescent="0.25">
      <c r="A59" s="8"/>
      <c r="B59" s="8"/>
      <c r="C59" s="8" t="s">
        <v>108</v>
      </c>
      <c r="D59" s="8">
        <v>400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x14ac:dyDescent="0.25">
      <c r="A60" s="8"/>
      <c r="B60" s="8"/>
      <c r="C60" s="8" t="s">
        <v>109</v>
      </c>
      <c r="D60" s="8">
        <v>360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x14ac:dyDescent="0.25">
      <c r="A61" s="8"/>
      <c r="B61" s="8"/>
      <c r="C61" s="8" t="s">
        <v>110</v>
      </c>
      <c r="D61" s="8">
        <v>600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x14ac:dyDescent="0.25">
      <c r="A62" s="8"/>
      <c r="B62" s="8"/>
      <c r="C62" s="8" t="s">
        <v>111</v>
      </c>
      <c r="D62" s="8">
        <v>50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x14ac:dyDescent="0.25">
      <c r="C63" t="s">
        <v>112</v>
      </c>
      <c r="D63">
        <v>600</v>
      </c>
    </row>
  </sheetData>
  <mergeCells count="1">
    <mergeCell ref="A7:B7"/>
  </mergeCells>
  <pageMargins left="0.7" right="0.7" top="0.75" bottom="0.75" header="0.3" footer="0.3"/>
  <pageSetup fitToWidth="0" fitToHeight="0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6YDMQ6CUTPJ4-1427209179-686</_dlc_DocId>
    <_dlc_DocIdUrl xmlns="7dc771f6-da2e-4bd1-a70e-d17768d8552b">
      <Url>https://cloudbaud.sharepoint.com/sites/Accounting/Taxes/_layouts/15/DocIdRedir.aspx?ID=6YDMQ6CUTPJ4-1427209179-686</Url>
      <Description>6YDMQ6CUTPJ4-1427209179-686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  <SharedWithUsers xmlns="b0fa510d-7618-4990-8d82-45385a8571b3">
      <UserInfo>
        <DisplayName>BACKOFFICE Members</DisplayName>
        <AccountId>11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794AD3C-1E61-42C6-B07A-9D8F95EDF505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999e65c0-e66d-4ac9-8388-c4abc62046b3"/>
    <ds:schemaRef ds:uri="http://schemas.openxmlformats.org/package/2006/metadata/core-properties"/>
    <ds:schemaRef ds:uri="df89fea9-1773-4881-9f23-9bbf5a71ac4e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B26CE5E-D7FC-406B-8D5C-3D9371BCC7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6DCCEA-BA7F-4304-BEA3-3361D65FD001}"/>
</file>

<file path=customXml/itemProps4.xml><?xml version="1.0" encoding="utf-8"?>
<ds:datastoreItem xmlns:ds="http://schemas.openxmlformats.org/officeDocument/2006/customXml" ds:itemID="{75D2F7EC-29C4-4372-B510-819CF947D9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</vt:lpstr>
      <vt:lpstr>Robertos</vt:lpstr>
      <vt:lpstr>CloudBaud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Jish Nath</dc:creator>
  <cp:keywords>2015;2016;2017;2018;2019;2020</cp:keywords>
  <dc:description/>
  <cp:lastModifiedBy>Jishnu Nath</cp:lastModifiedBy>
  <cp:revision/>
  <dcterms:created xsi:type="dcterms:W3CDTF">2021-09-14T20:57:35Z</dcterms:created>
  <dcterms:modified xsi:type="dcterms:W3CDTF">2021-09-25T23:20:58Z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dlc_DocIdItemGuid">
    <vt:lpwstr>0352e979-d06f-487f-a466-d354e051e840</vt:lpwstr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SharedWithUsers">
    <vt:lpwstr>11;#BACKOFFICE Members</vt:lpwstr>
  </property>
</Properties>
</file>