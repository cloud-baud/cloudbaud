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hreadedComments/threadedComment1.xml" ContentType="application/vnd.ms-excel.threaded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threadedComments/threadedComment2.xml" ContentType="application/vnd.ms-excel.threadedcomments+xml"/>
  <Override PartName="/xl/comments10.xml" ContentType="application/vnd.openxmlformats-officedocument.spreadsheetml.comments+xml"/>
  <Override PartName="/xl/threadedComments/threadedComment3.xml" ContentType="application/vnd.ms-excel.threadedcomments+xml"/>
  <Override PartName="/xl/comments11.xml" ContentType="application/vnd.openxmlformats-officedocument.spreadsheetml.comments+xml"/>
  <Override PartName="/xl/threadedComments/threadedComment4.xml" ContentType="application/vnd.ms-excel.threadedcomments+xml"/>
  <Override PartName="/xl/comments12.xml" ContentType="application/vnd.openxmlformats-officedocument.spreadsheetml.comments+xml"/>
  <Override PartName="/xl/threadedComments/threadedComment5.xml" ContentType="application/vnd.ms-excel.threadedcomments+xml"/>
  <Override PartName="/xl/comments13.xml" ContentType="application/vnd.openxmlformats-officedocument.spreadsheetml.comments+xml"/>
  <Override PartName="/xl/threadedComments/threadedComment6.xml" ContentType="application/vnd.ms-excel.threadedcomments+xml"/>
  <Override PartName="/xl/comments14.xml" ContentType="application/vnd.openxmlformats-officedocument.spreadsheetml.comments+xml"/>
  <Override PartName="/xl/tables/table1.xml" ContentType="application/vnd.openxmlformats-officedocument.spreadsheetml.table+xml"/>
  <Override PartName="/xl/comments15.xml" ContentType="application/vnd.openxmlformats-officedocument.spreadsheetml.comments+xml"/>
  <Override PartName="/xl/tables/table2.xml" ContentType="application/vnd.openxmlformats-officedocument.spreadsheetml.table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oudbaud.sharepoint.com/sites/Accounting/Taxes/Shared Documents/"/>
    </mc:Choice>
  </mc:AlternateContent>
  <xr:revisionPtr revIDLastSave="6" documentId="8_{B47FF94A-8166-491C-B4D9-11146B99BF6D}" xr6:coauthVersionLast="47" xr6:coauthVersionMax="47" xr10:uidLastSave="{24F40313-E435-47FD-96A6-EF41BFB38067}"/>
  <bookViews>
    <workbookView xWindow="-120" yWindow="-120" windowWidth="29040" windowHeight="15720" tabRatio="919" xr2:uid="{91B7E148-D819-4643-863E-0E8948DF1730}"/>
  </bookViews>
  <sheets>
    <sheet name="Summary" sheetId="3" r:id="rId1"/>
    <sheet name="LH-23" sheetId="27" r:id="rId2"/>
    <sheet name="WR-23" sheetId="28" r:id="rId3"/>
    <sheet name="CB-24" sheetId="32" r:id="rId4"/>
    <sheet name="CB-23" sheetId="21" r:id="rId5"/>
    <sheet name="CB-22" sheetId="20" r:id="rId6"/>
    <sheet name="CB-21" sheetId="7" r:id="rId7"/>
    <sheet name="CB-20" sheetId="4" r:id="rId8"/>
    <sheet name="CB-19" sheetId="5" r:id="rId9"/>
    <sheet name="CB-18" sheetId="33" r:id="rId10"/>
    <sheet name="CB-17" sheetId="26" r:id="rId11"/>
    <sheet name="CC-24" sheetId="31" r:id="rId12"/>
    <sheet name="CC-23" sheetId="30" r:id="rId13"/>
    <sheet name="CC-22" sheetId="23" r:id="rId14"/>
    <sheet name="CC-21" sheetId="9" r:id="rId15"/>
    <sheet name="CC-20" sheetId="13" r:id="rId16"/>
    <sheet name="CC-19" sheetId="14" r:id="rId17"/>
    <sheet name="CC-18" sheetId="12" r:id="rId18"/>
    <sheet name="OC-23" sheetId="29" r:id="rId19"/>
    <sheet name="OC-22" sheetId="22" r:id="rId20"/>
    <sheet name="OC-21" sheetId="10" r:id="rId21"/>
    <sheet name="OC-20" sheetId="15" r:id="rId22"/>
    <sheet name="OC-19" sheetId="19" r:id="rId23"/>
    <sheet name="OC-18" sheetId="17" r:id="rId24"/>
    <sheet name="Home Insurance" sheetId="11" r:id="rId25"/>
    <sheet name="Robertos" sheetId="1" r:id="rId26"/>
    <sheet name="Office Equipments" sheetId="24" r:id="rId27"/>
    <sheet name="Real Estates" sheetId="25" r:id="rId28"/>
    <sheet name="PB_CACHE_JS" sheetId="34" state="veryHidden" r:id="rId2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9" i="20" l="1"/>
  <c r="D69" i="20"/>
  <c r="D70" i="20"/>
  <c r="C70" i="20" s="1"/>
  <c r="D68" i="20"/>
  <c r="C68" i="20"/>
  <c r="C64" i="20"/>
  <c r="C65" i="20"/>
  <c r="C66" i="20"/>
  <c r="C63" i="20"/>
  <c r="D64" i="20"/>
  <c r="D65" i="20"/>
  <c r="D66" i="20"/>
  <c r="D63" i="20"/>
  <c r="R76" i="20"/>
  <c r="Q76" i="20"/>
  <c r="P76" i="20"/>
  <c r="O76" i="20"/>
  <c r="O70" i="20" s="1"/>
  <c r="O67" i="20" s="1"/>
  <c r="N76" i="20"/>
  <c r="M76" i="20"/>
  <c r="L76" i="20"/>
  <c r="L70" i="20" s="1"/>
  <c r="L67" i="20" s="1"/>
  <c r="K76" i="20"/>
  <c r="J76" i="20"/>
  <c r="I76" i="20"/>
  <c r="H76" i="20"/>
  <c r="G76" i="20"/>
  <c r="G70" i="20" s="1"/>
  <c r="G67" i="20" s="1"/>
  <c r="C76" i="20"/>
  <c r="R71" i="20"/>
  <c r="R70" i="20" s="1"/>
  <c r="R67" i="20" s="1"/>
  <c r="Q71" i="20"/>
  <c r="P71" i="20"/>
  <c r="O71" i="20"/>
  <c r="N71" i="20"/>
  <c r="M71" i="20"/>
  <c r="L71" i="20"/>
  <c r="K71" i="20"/>
  <c r="J71" i="20"/>
  <c r="J70" i="20" s="1"/>
  <c r="J67" i="20" s="1"/>
  <c r="I71" i="20"/>
  <c r="I70" i="20" s="1"/>
  <c r="I67" i="20" s="1"/>
  <c r="H71" i="20"/>
  <c r="G71" i="20"/>
  <c r="C71" i="20"/>
  <c r="C62" i="20"/>
  <c r="E69" i="20"/>
  <c r="E70" i="20"/>
  <c r="E68" i="20"/>
  <c r="F69" i="20"/>
  <c r="E64" i="20"/>
  <c r="E65" i="20"/>
  <c r="E66" i="20"/>
  <c r="E63" i="20"/>
  <c r="F64" i="20"/>
  <c r="F65" i="20"/>
  <c r="F66" i="20"/>
  <c r="F63" i="20"/>
  <c r="F60" i="20"/>
  <c r="D60" i="20"/>
  <c r="C60" i="20"/>
  <c r="C59" i="20" s="1"/>
  <c r="C47" i="20"/>
  <c r="C48" i="20"/>
  <c r="C49" i="20"/>
  <c r="C50" i="20"/>
  <c r="C51" i="20"/>
  <c r="C52" i="20"/>
  <c r="C53" i="20"/>
  <c r="C54" i="20"/>
  <c r="C55" i="20"/>
  <c r="C56" i="20"/>
  <c r="C57" i="20"/>
  <c r="C58" i="20"/>
  <c r="C46" i="20"/>
  <c r="C37" i="20"/>
  <c r="C38" i="20"/>
  <c r="C39" i="20"/>
  <c r="C40" i="20"/>
  <c r="C41" i="20"/>
  <c r="C42" i="20"/>
  <c r="C43" i="20"/>
  <c r="C44" i="20"/>
  <c r="C36" i="20"/>
  <c r="D48" i="20"/>
  <c r="D49" i="20"/>
  <c r="D50" i="20"/>
  <c r="D51" i="20"/>
  <c r="D52" i="20"/>
  <c r="D53" i="20"/>
  <c r="D54" i="20"/>
  <c r="D55" i="20"/>
  <c r="D56" i="20"/>
  <c r="D57" i="20"/>
  <c r="D58" i="20"/>
  <c r="F48" i="20"/>
  <c r="F49" i="20"/>
  <c r="F50" i="20"/>
  <c r="F51" i="20"/>
  <c r="F52" i="20"/>
  <c r="F53" i="20"/>
  <c r="F54" i="20"/>
  <c r="F55" i="20"/>
  <c r="F56" i="20"/>
  <c r="F57" i="20"/>
  <c r="F58" i="20"/>
  <c r="F47" i="20"/>
  <c r="F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46" i="20"/>
  <c r="R45" i="20"/>
  <c r="E37" i="20"/>
  <c r="E38" i="20"/>
  <c r="E39" i="20"/>
  <c r="E40" i="20"/>
  <c r="D40" i="20" s="1"/>
  <c r="E41" i="20"/>
  <c r="D41" i="20" s="1"/>
  <c r="E42" i="20"/>
  <c r="E43" i="20"/>
  <c r="E44" i="20"/>
  <c r="D44" i="20" s="1"/>
  <c r="E36" i="20"/>
  <c r="D36" i="20" s="1"/>
  <c r="C29" i="20"/>
  <c r="E29" i="20"/>
  <c r="E30" i="20"/>
  <c r="E31" i="20"/>
  <c r="E32" i="20"/>
  <c r="E33" i="20"/>
  <c r="D33" i="20" s="1"/>
  <c r="E34" i="20"/>
  <c r="D34" i="20" s="1"/>
  <c r="E28" i="20"/>
  <c r="Q45" i="20"/>
  <c r="P45" i="20"/>
  <c r="O45" i="20"/>
  <c r="N45" i="20"/>
  <c r="M45" i="20"/>
  <c r="L45" i="20"/>
  <c r="K45" i="20"/>
  <c r="J45" i="20"/>
  <c r="I45" i="20"/>
  <c r="H45" i="20"/>
  <c r="G45" i="20"/>
  <c r="D37" i="20"/>
  <c r="D28" i="20"/>
  <c r="C28" i="20" s="1"/>
  <c r="F28" i="20"/>
  <c r="F29" i="20"/>
  <c r="F30" i="20"/>
  <c r="B29" i="20"/>
  <c r="B30" i="20"/>
  <c r="B31" i="20"/>
  <c r="B32" i="20"/>
  <c r="B33" i="20"/>
  <c r="B34" i="20"/>
  <c r="B28" i="20"/>
  <c r="D30" i="20"/>
  <c r="C30" i="20" s="1"/>
  <c r="D31" i="20"/>
  <c r="D32" i="20"/>
  <c r="D21" i="20"/>
  <c r="C21" i="20" s="1"/>
  <c r="E22" i="20"/>
  <c r="D22" i="20" s="1"/>
  <c r="C22" i="20" s="1"/>
  <c r="E23" i="20"/>
  <c r="D23" i="20" s="1"/>
  <c r="C23" i="20" s="1"/>
  <c r="E24" i="20"/>
  <c r="D24" i="20" s="1"/>
  <c r="C24" i="20" s="1"/>
  <c r="E25" i="20"/>
  <c r="D25" i="20" s="1"/>
  <c r="C25" i="20" s="1"/>
  <c r="E26" i="20"/>
  <c r="D26" i="20" s="1"/>
  <c r="C26" i="20" s="1"/>
  <c r="E21" i="20"/>
  <c r="F22" i="20"/>
  <c r="F23" i="20"/>
  <c r="F24" i="20"/>
  <c r="F25" i="20"/>
  <c r="F26" i="20"/>
  <c r="F21" i="20"/>
  <c r="R20" i="21"/>
  <c r="Q20" i="21"/>
  <c r="P20" i="21"/>
  <c r="O20" i="21"/>
  <c r="N20" i="21"/>
  <c r="M20" i="21"/>
  <c r="L20" i="21"/>
  <c r="K20" i="21"/>
  <c r="J20" i="21"/>
  <c r="I20" i="21"/>
  <c r="H20" i="21"/>
  <c r="G20" i="21"/>
  <c r="R20" i="20"/>
  <c r="Q20" i="20"/>
  <c r="P20" i="20"/>
  <c r="O20" i="20"/>
  <c r="N20" i="20"/>
  <c r="M20" i="20"/>
  <c r="L20" i="20"/>
  <c r="K20" i="20"/>
  <c r="J20" i="20"/>
  <c r="I20" i="20"/>
  <c r="H20" i="20"/>
  <c r="G20" i="20"/>
  <c r="R20" i="7"/>
  <c r="Q20" i="7"/>
  <c r="P20" i="7"/>
  <c r="O20" i="7"/>
  <c r="N20" i="7"/>
  <c r="M20" i="7"/>
  <c r="L20" i="7"/>
  <c r="K20" i="7"/>
  <c r="J20" i="7"/>
  <c r="I20" i="7"/>
  <c r="H20" i="7"/>
  <c r="G20" i="7"/>
  <c r="R20" i="4"/>
  <c r="Q20" i="4"/>
  <c r="P20" i="4"/>
  <c r="O20" i="4"/>
  <c r="N20" i="4"/>
  <c r="M20" i="4"/>
  <c r="L20" i="4"/>
  <c r="K20" i="4"/>
  <c r="J7" i="4" s="1"/>
  <c r="J20" i="4"/>
  <c r="I20" i="4"/>
  <c r="H20" i="4"/>
  <c r="G20" i="4"/>
  <c r="S20" i="5"/>
  <c r="R20" i="5"/>
  <c r="Q20" i="5"/>
  <c r="P20" i="5"/>
  <c r="O20" i="5"/>
  <c r="N20" i="5"/>
  <c r="M20" i="5"/>
  <c r="L20" i="5"/>
  <c r="K20" i="5"/>
  <c r="K7" i="5" s="1"/>
  <c r="J20" i="5"/>
  <c r="I20" i="5"/>
  <c r="H20" i="5"/>
  <c r="B73" i="4"/>
  <c r="B74" i="4"/>
  <c r="B75" i="4"/>
  <c r="B72" i="4"/>
  <c r="B71" i="4"/>
  <c r="B69" i="4"/>
  <c r="B70" i="4"/>
  <c r="B68" i="4"/>
  <c r="B67" i="4"/>
  <c r="B71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R35" i="33"/>
  <c r="Q35" i="33"/>
  <c r="P35" i="33"/>
  <c r="O35" i="33"/>
  <c r="N35" i="33"/>
  <c r="M35" i="33"/>
  <c r="L35" i="33"/>
  <c r="K35" i="33"/>
  <c r="J35" i="33"/>
  <c r="I35" i="33"/>
  <c r="H35" i="33"/>
  <c r="G35" i="33"/>
  <c r="R27" i="33"/>
  <c r="Q27" i="33"/>
  <c r="P27" i="33"/>
  <c r="O27" i="33"/>
  <c r="N27" i="33"/>
  <c r="M27" i="33"/>
  <c r="L27" i="33"/>
  <c r="K27" i="33"/>
  <c r="J27" i="33"/>
  <c r="I27" i="33"/>
  <c r="H27" i="33"/>
  <c r="G27" i="33"/>
  <c r="R20" i="33"/>
  <c r="Q20" i="33"/>
  <c r="P20" i="33"/>
  <c r="O20" i="33"/>
  <c r="N20" i="33"/>
  <c r="M20" i="33"/>
  <c r="L20" i="33"/>
  <c r="K20" i="33"/>
  <c r="J20" i="33"/>
  <c r="I20" i="33"/>
  <c r="H20" i="33"/>
  <c r="G20" i="33"/>
  <c r="H76" i="26"/>
  <c r="I76" i="26"/>
  <c r="J76" i="26"/>
  <c r="K76" i="26"/>
  <c r="L76" i="26"/>
  <c r="M76" i="26"/>
  <c r="N76" i="26"/>
  <c r="O76" i="26"/>
  <c r="P76" i="26"/>
  <c r="Q76" i="26"/>
  <c r="R76" i="26"/>
  <c r="G76" i="26"/>
  <c r="H71" i="26"/>
  <c r="I71" i="26"/>
  <c r="J71" i="26"/>
  <c r="K71" i="26"/>
  <c r="L71" i="26"/>
  <c r="M71" i="26"/>
  <c r="N71" i="26"/>
  <c r="O71" i="26"/>
  <c r="P71" i="26"/>
  <c r="Q71" i="26"/>
  <c r="R71" i="26"/>
  <c r="G71" i="26"/>
  <c r="H67" i="26"/>
  <c r="I67" i="26"/>
  <c r="J67" i="26"/>
  <c r="K67" i="26"/>
  <c r="L67" i="26"/>
  <c r="M67" i="26"/>
  <c r="N67" i="26"/>
  <c r="O67" i="26"/>
  <c r="P67" i="26"/>
  <c r="Q67" i="26"/>
  <c r="R67" i="26"/>
  <c r="G67" i="26"/>
  <c r="H62" i="26"/>
  <c r="I62" i="26"/>
  <c r="J62" i="26"/>
  <c r="K62" i="26"/>
  <c r="L62" i="26"/>
  <c r="M62" i="26"/>
  <c r="N62" i="26"/>
  <c r="O62" i="26"/>
  <c r="P62" i="26"/>
  <c r="Q62" i="26"/>
  <c r="R62" i="26"/>
  <c r="G62" i="26"/>
  <c r="H45" i="26"/>
  <c r="I45" i="26"/>
  <c r="J45" i="26"/>
  <c r="K45" i="26"/>
  <c r="L45" i="26"/>
  <c r="M45" i="26"/>
  <c r="N45" i="26"/>
  <c r="O45" i="26"/>
  <c r="P45" i="26"/>
  <c r="Q45" i="26"/>
  <c r="R45" i="26"/>
  <c r="G45" i="26"/>
  <c r="H35" i="26"/>
  <c r="I35" i="26"/>
  <c r="J35" i="26"/>
  <c r="K35" i="26"/>
  <c r="L35" i="26"/>
  <c r="M35" i="26"/>
  <c r="N35" i="26"/>
  <c r="O35" i="26"/>
  <c r="P35" i="26"/>
  <c r="Q35" i="26"/>
  <c r="R35" i="26"/>
  <c r="G35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G27" i="26"/>
  <c r="R20" i="26"/>
  <c r="H20" i="26"/>
  <c r="I20" i="26"/>
  <c r="J20" i="26"/>
  <c r="K20" i="26"/>
  <c r="L20" i="26"/>
  <c r="M20" i="26"/>
  <c r="N20" i="26"/>
  <c r="O20" i="26"/>
  <c r="P20" i="26"/>
  <c r="Q20" i="26"/>
  <c r="G20" i="26"/>
  <c r="C9" i="21"/>
  <c r="C10" i="21"/>
  <c r="C11" i="21"/>
  <c r="C12" i="21"/>
  <c r="C13" i="21"/>
  <c r="C14" i="21"/>
  <c r="C15" i="21"/>
  <c r="C16" i="21"/>
  <c r="C17" i="21"/>
  <c r="C18" i="21"/>
  <c r="C19" i="21"/>
  <c r="C8" i="21"/>
  <c r="D15" i="21"/>
  <c r="D16" i="21"/>
  <c r="D17" i="21"/>
  <c r="D18" i="21"/>
  <c r="D19" i="21"/>
  <c r="F9" i="21"/>
  <c r="F10" i="21"/>
  <c r="F11" i="21"/>
  <c r="F12" i="21"/>
  <c r="F13" i="21"/>
  <c r="F14" i="21"/>
  <c r="F15" i="21"/>
  <c r="F16" i="21"/>
  <c r="F17" i="21"/>
  <c r="F18" i="21"/>
  <c r="F19" i="21"/>
  <c r="E9" i="21"/>
  <c r="E10" i="21"/>
  <c r="E11" i="21"/>
  <c r="E12" i="21"/>
  <c r="E13" i="21"/>
  <c r="E14" i="21"/>
  <c r="E15" i="21"/>
  <c r="E16" i="21"/>
  <c r="E17" i="21"/>
  <c r="E18" i="21"/>
  <c r="E19" i="21"/>
  <c r="E8" i="21"/>
  <c r="D8" i="21" s="1"/>
  <c r="C5" i="32"/>
  <c r="C6" i="32" s="1"/>
  <c r="F12" i="3" s="1"/>
  <c r="C5" i="7"/>
  <c r="C5" i="4"/>
  <c r="D67" i="5"/>
  <c r="D62" i="5"/>
  <c r="D59" i="5"/>
  <c r="D7" i="5"/>
  <c r="D5" i="5"/>
  <c r="D80" i="5"/>
  <c r="D79" i="5"/>
  <c r="E73" i="5"/>
  <c r="D73" i="5" s="1"/>
  <c r="D71" i="5" s="1"/>
  <c r="D74" i="5"/>
  <c r="E74" i="5"/>
  <c r="E75" i="5"/>
  <c r="D75" i="5" s="1"/>
  <c r="E72" i="5"/>
  <c r="D72" i="5"/>
  <c r="D69" i="5"/>
  <c r="D70" i="5"/>
  <c r="D68" i="5"/>
  <c r="E69" i="5"/>
  <c r="E70" i="5"/>
  <c r="E68" i="5"/>
  <c r="D66" i="5"/>
  <c r="E66" i="5"/>
  <c r="E60" i="5"/>
  <c r="D60" i="5"/>
  <c r="D37" i="5"/>
  <c r="D38" i="5"/>
  <c r="D39" i="5"/>
  <c r="D40" i="5"/>
  <c r="D41" i="5"/>
  <c r="D42" i="5"/>
  <c r="D43" i="5"/>
  <c r="D44" i="5"/>
  <c r="D36" i="5"/>
  <c r="D29" i="5"/>
  <c r="D30" i="5"/>
  <c r="D31" i="5"/>
  <c r="D32" i="5"/>
  <c r="D33" i="5"/>
  <c r="D34" i="5"/>
  <c r="D22" i="5"/>
  <c r="D23" i="5"/>
  <c r="D24" i="5"/>
  <c r="D20" i="5" s="1"/>
  <c r="D25" i="5"/>
  <c r="D26" i="5"/>
  <c r="D21" i="5"/>
  <c r="E37" i="5"/>
  <c r="E38" i="5"/>
  <c r="E39" i="5"/>
  <c r="E40" i="5"/>
  <c r="E41" i="5"/>
  <c r="E42" i="5"/>
  <c r="E43" i="5"/>
  <c r="E44" i="5"/>
  <c r="E36" i="5"/>
  <c r="E29" i="5"/>
  <c r="E30" i="5"/>
  <c r="E31" i="5"/>
  <c r="E32" i="5"/>
  <c r="E33" i="5"/>
  <c r="E34" i="5"/>
  <c r="E28" i="5"/>
  <c r="E22" i="5"/>
  <c r="E23" i="5"/>
  <c r="E24" i="5"/>
  <c r="E25" i="5"/>
  <c r="E26" i="5"/>
  <c r="E21" i="5"/>
  <c r="D9" i="5"/>
  <c r="D10" i="5"/>
  <c r="D11" i="5"/>
  <c r="D12" i="5"/>
  <c r="D13" i="5"/>
  <c r="D14" i="5"/>
  <c r="D15" i="5"/>
  <c r="D16" i="5"/>
  <c r="D17" i="5"/>
  <c r="D18" i="5"/>
  <c r="D19" i="5"/>
  <c r="D8" i="5"/>
  <c r="E15" i="5"/>
  <c r="E16" i="5"/>
  <c r="E17" i="5"/>
  <c r="E18" i="5"/>
  <c r="E19" i="5"/>
  <c r="C67" i="33"/>
  <c r="D50" i="33"/>
  <c r="F47" i="33"/>
  <c r="F48" i="33"/>
  <c r="D48" i="33" s="1"/>
  <c r="C48" i="33" s="1"/>
  <c r="F49" i="33"/>
  <c r="F50" i="33"/>
  <c r="F52" i="33"/>
  <c r="D52" i="33" s="1"/>
  <c r="C52" i="33" s="1"/>
  <c r="F53" i="33"/>
  <c r="D53" i="33" s="1"/>
  <c r="F54" i="33"/>
  <c r="D54" i="33" s="1"/>
  <c r="C54" i="33" s="1"/>
  <c r="F55" i="33"/>
  <c r="D55" i="33" s="1"/>
  <c r="C55" i="33" s="1"/>
  <c r="F56" i="33"/>
  <c r="D56" i="33" s="1"/>
  <c r="C56" i="33" s="1"/>
  <c r="F57" i="33"/>
  <c r="F58" i="33"/>
  <c r="F46" i="33"/>
  <c r="D36" i="33"/>
  <c r="F37" i="33"/>
  <c r="C37" i="33" s="1"/>
  <c r="F38" i="33"/>
  <c r="C38" i="33" s="1"/>
  <c r="F39" i="33"/>
  <c r="C39" i="33" s="1"/>
  <c r="F40" i="33"/>
  <c r="C40" i="33" s="1"/>
  <c r="F41" i="33"/>
  <c r="C41" i="33" s="1"/>
  <c r="F43" i="33"/>
  <c r="F44" i="33"/>
  <c r="F36" i="33"/>
  <c r="C36" i="33" s="1"/>
  <c r="C43" i="33"/>
  <c r="C44" i="33"/>
  <c r="F73" i="33"/>
  <c r="D73" i="33" s="1"/>
  <c r="C73" i="33" s="1"/>
  <c r="F74" i="33"/>
  <c r="D74" i="33" s="1"/>
  <c r="C74" i="33" s="1"/>
  <c r="F75" i="33"/>
  <c r="D75" i="33" s="1"/>
  <c r="C75" i="33" s="1"/>
  <c r="F72" i="33"/>
  <c r="D72" i="33" s="1"/>
  <c r="C72" i="33" s="1"/>
  <c r="F69" i="33"/>
  <c r="D69" i="33" s="1"/>
  <c r="C69" i="33" s="1"/>
  <c r="F70" i="33"/>
  <c r="D70" i="33" s="1"/>
  <c r="C70" i="33" s="1"/>
  <c r="F68" i="33"/>
  <c r="D68" i="33" s="1"/>
  <c r="C68" i="33" s="1"/>
  <c r="E57" i="33"/>
  <c r="D57" i="33" s="1"/>
  <c r="E48" i="33"/>
  <c r="E47" i="33"/>
  <c r="D47" i="33" s="1"/>
  <c r="C47" i="33" s="1"/>
  <c r="E46" i="33"/>
  <c r="D46" i="33" s="1"/>
  <c r="C46" i="33" s="1"/>
  <c r="E45" i="33"/>
  <c r="C5" i="26"/>
  <c r="C71" i="26"/>
  <c r="C67" i="26"/>
  <c r="C62" i="26"/>
  <c r="C59" i="26"/>
  <c r="C73" i="4"/>
  <c r="C74" i="4"/>
  <c r="C75" i="4"/>
  <c r="C72" i="4"/>
  <c r="C69" i="4"/>
  <c r="C70" i="4"/>
  <c r="C68" i="4"/>
  <c r="D73" i="4"/>
  <c r="D74" i="4"/>
  <c r="D75" i="4"/>
  <c r="D72" i="4"/>
  <c r="D69" i="4"/>
  <c r="D70" i="4"/>
  <c r="D68" i="4"/>
  <c r="D66" i="4"/>
  <c r="D60" i="4"/>
  <c r="C60" i="4"/>
  <c r="C47" i="4"/>
  <c r="C48" i="4"/>
  <c r="C49" i="4"/>
  <c r="C50" i="4"/>
  <c r="C51" i="4"/>
  <c r="C52" i="4"/>
  <c r="C53" i="4"/>
  <c r="C54" i="4"/>
  <c r="C55" i="4"/>
  <c r="C56" i="4"/>
  <c r="C57" i="4"/>
  <c r="C58" i="4"/>
  <c r="C46" i="4"/>
  <c r="D47" i="4"/>
  <c r="D48" i="4"/>
  <c r="D49" i="4"/>
  <c r="D50" i="4"/>
  <c r="D51" i="4"/>
  <c r="D52" i="4"/>
  <c r="D53" i="4"/>
  <c r="D54" i="4"/>
  <c r="D55" i="4"/>
  <c r="D56" i="4"/>
  <c r="D57" i="4"/>
  <c r="D58" i="4"/>
  <c r="D46" i="4"/>
  <c r="C37" i="4"/>
  <c r="C38" i="4"/>
  <c r="C39" i="4"/>
  <c r="C40" i="4"/>
  <c r="C41" i="4"/>
  <c r="C42" i="4"/>
  <c r="C43" i="4"/>
  <c r="C35" i="4" s="1"/>
  <c r="C44" i="4"/>
  <c r="C36" i="4"/>
  <c r="F15" i="20"/>
  <c r="F16" i="20"/>
  <c r="F17" i="20"/>
  <c r="F18" i="20"/>
  <c r="D18" i="20" s="1"/>
  <c r="C18" i="20" s="1"/>
  <c r="F19" i="20"/>
  <c r="D19" i="20" s="1"/>
  <c r="C19" i="20" s="1"/>
  <c r="E10" i="20"/>
  <c r="E11" i="20"/>
  <c r="E12" i="20"/>
  <c r="E13" i="20"/>
  <c r="E14" i="20"/>
  <c r="E15" i="20"/>
  <c r="E16" i="20"/>
  <c r="E17" i="20"/>
  <c r="E18" i="20"/>
  <c r="E19" i="20"/>
  <c r="E9" i="20"/>
  <c r="E8" i="20"/>
  <c r="R7" i="7"/>
  <c r="Q7" i="7"/>
  <c r="P7" i="7"/>
  <c r="O7" i="7"/>
  <c r="N7" i="7"/>
  <c r="M7" i="7"/>
  <c r="L7" i="7"/>
  <c r="K7" i="7"/>
  <c r="J7" i="7"/>
  <c r="I7" i="7"/>
  <c r="H7" i="7"/>
  <c r="G7" i="7"/>
  <c r="C35" i="7"/>
  <c r="C37" i="7"/>
  <c r="C38" i="7"/>
  <c r="C39" i="7"/>
  <c r="C40" i="7"/>
  <c r="C41" i="7"/>
  <c r="C42" i="7"/>
  <c r="C43" i="7"/>
  <c r="C44" i="7"/>
  <c r="C36" i="7"/>
  <c r="C29" i="7"/>
  <c r="C27" i="7" s="1"/>
  <c r="C30" i="7"/>
  <c r="C31" i="7"/>
  <c r="C32" i="7"/>
  <c r="C33" i="7"/>
  <c r="C34" i="7"/>
  <c r="C28" i="7"/>
  <c r="C20" i="7"/>
  <c r="C7" i="7" s="1"/>
  <c r="C22" i="7"/>
  <c r="C23" i="7"/>
  <c r="C24" i="7"/>
  <c r="C25" i="7"/>
  <c r="C26" i="7"/>
  <c r="C21" i="7"/>
  <c r="C9" i="7"/>
  <c r="C10" i="7"/>
  <c r="C11" i="7"/>
  <c r="C12" i="7"/>
  <c r="C13" i="7"/>
  <c r="C14" i="7"/>
  <c r="C15" i="7"/>
  <c r="C16" i="7"/>
  <c r="C17" i="7"/>
  <c r="C18" i="7"/>
  <c r="C19" i="7"/>
  <c r="C8" i="7"/>
  <c r="D76" i="7"/>
  <c r="D77" i="7"/>
  <c r="D78" i="7"/>
  <c r="D75" i="7"/>
  <c r="D72" i="7"/>
  <c r="D73" i="7"/>
  <c r="D71" i="7"/>
  <c r="D67" i="7"/>
  <c r="D68" i="7"/>
  <c r="D69" i="7"/>
  <c r="D66" i="7"/>
  <c r="D63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46" i="7"/>
  <c r="D29" i="7"/>
  <c r="D30" i="7"/>
  <c r="D31" i="7"/>
  <c r="D32" i="7"/>
  <c r="D33" i="7"/>
  <c r="D34" i="7"/>
  <c r="D28" i="7"/>
  <c r="D22" i="7"/>
  <c r="D23" i="7"/>
  <c r="D24" i="7"/>
  <c r="D25" i="7"/>
  <c r="D26" i="7"/>
  <c r="D21" i="7"/>
  <c r="D15" i="7"/>
  <c r="D16" i="7"/>
  <c r="D17" i="7"/>
  <c r="D18" i="7"/>
  <c r="D19" i="7"/>
  <c r="E76" i="7"/>
  <c r="E77" i="7"/>
  <c r="E78" i="7"/>
  <c r="E75" i="7"/>
  <c r="E72" i="7"/>
  <c r="E73" i="7"/>
  <c r="E71" i="7"/>
  <c r="E67" i="7"/>
  <c r="E68" i="7"/>
  <c r="E69" i="7"/>
  <c r="E66" i="7"/>
  <c r="F76" i="7"/>
  <c r="F77" i="7"/>
  <c r="F78" i="7"/>
  <c r="F75" i="7"/>
  <c r="F72" i="7"/>
  <c r="F73" i="7"/>
  <c r="F71" i="7"/>
  <c r="F67" i="7"/>
  <c r="F68" i="7"/>
  <c r="F69" i="7"/>
  <c r="F66" i="7"/>
  <c r="B19" i="21"/>
  <c r="B20" i="21"/>
  <c r="B9" i="21"/>
  <c r="B10" i="21"/>
  <c r="B11" i="21"/>
  <c r="B12" i="21"/>
  <c r="B13" i="21"/>
  <c r="B14" i="21"/>
  <c r="B15" i="21"/>
  <c r="B16" i="21"/>
  <c r="B17" i="21"/>
  <c r="B18" i="21"/>
  <c r="C3" i="32"/>
  <c r="B6" i="32"/>
  <c r="B5" i="32"/>
  <c r="C29" i="4"/>
  <c r="C30" i="4"/>
  <c r="C31" i="4"/>
  <c r="C32" i="4"/>
  <c r="C33" i="4"/>
  <c r="C34" i="4"/>
  <c r="C28" i="4"/>
  <c r="C22" i="4"/>
  <c r="C23" i="4"/>
  <c r="C24" i="4"/>
  <c r="C25" i="4"/>
  <c r="C26" i="4"/>
  <c r="C21" i="4"/>
  <c r="C20" i="4" s="1"/>
  <c r="D37" i="4"/>
  <c r="D38" i="4"/>
  <c r="D39" i="4"/>
  <c r="D40" i="4"/>
  <c r="D41" i="4"/>
  <c r="D42" i="4"/>
  <c r="D43" i="4"/>
  <c r="D44" i="4"/>
  <c r="D36" i="4"/>
  <c r="D29" i="4"/>
  <c r="D30" i="4"/>
  <c r="D31" i="4"/>
  <c r="D32" i="4"/>
  <c r="D33" i="4"/>
  <c r="D34" i="4"/>
  <c r="D28" i="4"/>
  <c r="D22" i="4"/>
  <c r="D23" i="4"/>
  <c r="D24" i="4"/>
  <c r="D25" i="4"/>
  <c r="D26" i="4"/>
  <c r="D21" i="4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C64" i="7"/>
  <c r="D64" i="7"/>
  <c r="E64" i="7"/>
  <c r="F64" i="7"/>
  <c r="G64" i="7"/>
  <c r="H64" i="7"/>
  <c r="I64" i="7"/>
  <c r="J64" i="7"/>
  <c r="K64" i="7"/>
  <c r="L64" i="7"/>
  <c r="M64" i="7"/>
  <c r="N64" i="7"/>
  <c r="O64" i="7"/>
  <c r="P64" i="7"/>
  <c r="Q64" i="7"/>
  <c r="R64" i="7"/>
  <c r="B64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46" i="7"/>
  <c r="E37" i="7"/>
  <c r="E38" i="7"/>
  <c r="E39" i="7"/>
  <c r="E40" i="7"/>
  <c r="E41" i="7"/>
  <c r="E42" i="7"/>
  <c r="E43" i="7"/>
  <c r="E44" i="7"/>
  <c r="E36" i="7"/>
  <c r="E29" i="7"/>
  <c r="E30" i="7"/>
  <c r="E31" i="7"/>
  <c r="E32" i="7"/>
  <c r="E33" i="7"/>
  <c r="E34" i="7"/>
  <c r="E28" i="7"/>
  <c r="E22" i="7"/>
  <c r="E23" i="7"/>
  <c r="E24" i="7"/>
  <c r="E25" i="7"/>
  <c r="E26" i="7"/>
  <c r="E21" i="7"/>
  <c r="E9" i="7"/>
  <c r="E10" i="7"/>
  <c r="E11" i="7"/>
  <c r="E12" i="7"/>
  <c r="E13" i="7"/>
  <c r="E14" i="7"/>
  <c r="E15" i="7"/>
  <c r="E16" i="7"/>
  <c r="E17" i="7"/>
  <c r="E18" i="7"/>
  <c r="E19" i="7"/>
  <c r="E8" i="7"/>
  <c r="B66" i="20"/>
  <c r="B67" i="20"/>
  <c r="B68" i="20"/>
  <c r="B69" i="20"/>
  <c r="B70" i="20"/>
  <c r="B71" i="20"/>
  <c r="B72" i="20"/>
  <c r="B73" i="20"/>
  <c r="B74" i="20"/>
  <c r="B75" i="20"/>
  <c r="B76" i="20"/>
  <c r="B64" i="20"/>
  <c r="B65" i="20"/>
  <c r="B53" i="20"/>
  <c r="B54" i="20"/>
  <c r="B55" i="20"/>
  <c r="B56" i="20"/>
  <c r="B57" i="20"/>
  <c r="B58" i="20"/>
  <c r="B59" i="20"/>
  <c r="B61" i="20"/>
  <c r="B62" i="20"/>
  <c r="B63" i="20"/>
  <c r="B46" i="20"/>
  <c r="B47" i="20"/>
  <c r="B48" i="20"/>
  <c r="B49" i="20"/>
  <c r="B50" i="20"/>
  <c r="B51" i="20"/>
  <c r="B52" i="20"/>
  <c r="B44" i="20"/>
  <c r="B37" i="20"/>
  <c r="B38" i="20"/>
  <c r="B39" i="20"/>
  <c r="B40" i="20"/>
  <c r="B41" i="20"/>
  <c r="B42" i="20"/>
  <c r="B43" i="20"/>
  <c r="B35" i="20"/>
  <c r="B36" i="20"/>
  <c r="B27" i="20"/>
  <c r="B21" i="20"/>
  <c r="B22" i="20"/>
  <c r="B23" i="20"/>
  <c r="B24" i="20"/>
  <c r="B26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B27" i="7"/>
  <c r="C7" i="4"/>
  <c r="C19" i="4"/>
  <c r="C18" i="4"/>
  <c r="C17" i="4"/>
  <c r="C16" i="4"/>
  <c r="C15" i="4"/>
  <c r="C14" i="4"/>
  <c r="C13" i="4"/>
  <c r="C12" i="4"/>
  <c r="C11" i="4"/>
  <c r="C10" i="4"/>
  <c r="C9" i="4"/>
  <c r="C8" i="4"/>
  <c r="D9" i="4"/>
  <c r="D10" i="4"/>
  <c r="D11" i="4"/>
  <c r="D12" i="4"/>
  <c r="D13" i="4"/>
  <c r="D14" i="4"/>
  <c r="D15" i="4"/>
  <c r="D16" i="4"/>
  <c r="D17" i="4"/>
  <c r="D18" i="4"/>
  <c r="D19" i="4"/>
  <c r="D8" i="4"/>
  <c r="F73" i="4"/>
  <c r="F74" i="4"/>
  <c r="F75" i="4"/>
  <c r="F72" i="4"/>
  <c r="F69" i="4"/>
  <c r="F70" i="4"/>
  <c r="F68" i="4"/>
  <c r="F47" i="4"/>
  <c r="F48" i="4"/>
  <c r="F49" i="4"/>
  <c r="F50" i="4"/>
  <c r="F51" i="4"/>
  <c r="F52" i="4"/>
  <c r="F53" i="4"/>
  <c r="F54" i="4"/>
  <c r="F55" i="4"/>
  <c r="F56" i="4"/>
  <c r="F57" i="4"/>
  <c r="F58" i="4"/>
  <c r="F46" i="4"/>
  <c r="F23" i="4"/>
  <c r="F24" i="4"/>
  <c r="F25" i="4"/>
  <c r="F26" i="4"/>
  <c r="F21" i="4"/>
  <c r="E47" i="4"/>
  <c r="E48" i="4"/>
  <c r="E49" i="4"/>
  <c r="E50" i="4"/>
  <c r="E51" i="4"/>
  <c r="E52" i="4"/>
  <c r="E53" i="4"/>
  <c r="E54" i="4"/>
  <c r="E55" i="4"/>
  <c r="E56" i="4"/>
  <c r="E57" i="4"/>
  <c r="E58" i="4"/>
  <c r="E46" i="4"/>
  <c r="E37" i="4"/>
  <c r="E38" i="4"/>
  <c r="E39" i="4"/>
  <c r="E40" i="4"/>
  <c r="E41" i="4"/>
  <c r="E42" i="4"/>
  <c r="E43" i="4"/>
  <c r="E44" i="4"/>
  <c r="E36" i="4"/>
  <c r="E29" i="4"/>
  <c r="E30" i="4"/>
  <c r="E31" i="4"/>
  <c r="E32" i="4"/>
  <c r="E33" i="4"/>
  <c r="E34" i="4"/>
  <c r="E28" i="4"/>
  <c r="E22" i="4"/>
  <c r="E23" i="4"/>
  <c r="E24" i="4"/>
  <c r="E25" i="4"/>
  <c r="E26" i="4"/>
  <c r="E21" i="4"/>
  <c r="G73" i="5"/>
  <c r="G74" i="5"/>
  <c r="G75" i="5"/>
  <c r="G72" i="5"/>
  <c r="G69" i="5"/>
  <c r="G70" i="5"/>
  <c r="G68" i="5"/>
  <c r="G47" i="5"/>
  <c r="G48" i="5"/>
  <c r="G49" i="5"/>
  <c r="G50" i="5"/>
  <c r="E50" i="5" s="1"/>
  <c r="D50" i="5" s="1"/>
  <c r="G51" i="5"/>
  <c r="G52" i="5"/>
  <c r="G53" i="5"/>
  <c r="G54" i="5"/>
  <c r="G55" i="5"/>
  <c r="E55" i="5" s="1"/>
  <c r="D55" i="5" s="1"/>
  <c r="G56" i="5"/>
  <c r="G57" i="5"/>
  <c r="G58" i="5"/>
  <c r="E58" i="5" s="1"/>
  <c r="D58" i="5" s="1"/>
  <c r="G46" i="5"/>
  <c r="E46" i="5" s="1"/>
  <c r="D46" i="5" s="1"/>
  <c r="G37" i="5"/>
  <c r="G38" i="5"/>
  <c r="G39" i="5"/>
  <c r="G40" i="5"/>
  <c r="G41" i="5"/>
  <c r="G42" i="5"/>
  <c r="G43" i="5"/>
  <c r="G44" i="5"/>
  <c r="G36" i="5"/>
  <c r="G29" i="5"/>
  <c r="G30" i="5"/>
  <c r="G31" i="5"/>
  <c r="G32" i="5"/>
  <c r="G33" i="5"/>
  <c r="G34" i="5"/>
  <c r="G22" i="5"/>
  <c r="G23" i="5"/>
  <c r="G24" i="5"/>
  <c r="G25" i="5"/>
  <c r="G26" i="5"/>
  <c r="G21" i="5"/>
  <c r="G19" i="5"/>
  <c r="F37" i="5"/>
  <c r="F38" i="5"/>
  <c r="F39" i="5"/>
  <c r="F40" i="5"/>
  <c r="F41" i="5"/>
  <c r="F42" i="5"/>
  <c r="F43" i="5"/>
  <c r="F44" i="5"/>
  <c r="F36" i="5"/>
  <c r="F29" i="5"/>
  <c r="F30" i="5"/>
  <c r="F31" i="5"/>
  <c r="F32" i="5"/>
  <c r="F33" i="5"/>
  <c r="F34" i="5"/>
  <c r="F28" i="5"/>
  <c r="E9" i="4"/>
  <c r="E10" i="4"/>
  <c r="E11" i="4"/>
  <c r="E12" i="4"/>
  <c r="E13" i="4"/>
  <c r="E14" i="4"/>
  <c r="E15" i="4"/>
  <c r="E16" i="4"/>
  <c r="E17" i="4"/>
  <c r="E18" i="4"/>
  <c r="E19" i="4"/>
  <c r="E8" i="4"/>
  <c r="F37" i="4"/>
  <c r="F38" i="4"/>
  <c r="F39" i="4"/>
  <c r="F40" i="4"/>
  <c r="F41" i="4"/>
  <c r="F42" i="4"/>
  <c r="F43" i="4"/>
  <c r="F44" i="4"/>
  <c r="F36" i="4"/>
  <c r="F33" i="4"/>
  <c r="F14" i="4"/>
  <c r="F15" i="4"/>
  <c r="F16" i="4"/>
  <c r="F17" i="4"/>
  <c r="F18" i="4"/>
  <c r="F19" i="4"/>
  <c r="C73" i="26"/>
  <c r="C74" i="26"/>
  <c r="C75" i="26"/>
  <c r="C72" i="26"/>
  <c r="C69" i="26"/>
  <c r="C70" i="26"/>
  <c r="C68" i="26"/>
  <c r="D73" i="26"/>
  <c r="D74" i="26"/>
  <c r="D75" i="26"/>
  <c r="D72" i="26"/>
  <c r="D69" i="26"/>
  <c r="D70" i="26"/>
  <c r="D68" i="26"/>
  <c r="F73" i="26"/>
  <c r="F74" i="26"/>
  <c r="F75" i="26"/>
  <c r="F72" i="26"/>
  <c r="F69" i="26"/>
  <c r="F70" i="26"/>
  <c r="F68" i="26"/>
  <c r="C66" i="26"/>
  <c r="D66" i="26"/>
  <c r="C66" i="4"/>
  <c r="B64" i="4"/>
  <c r="B65" i="4"/>
  <c r="B66" i="4"/>
  <c r="B63" i="4"/>
  <c r="B62" i="4"/>
  <c r="F79" i="33"/>
  <c r="B66" i="33"/>
  <c r="C76" i="5"/>
  <c r="C75" i="5"/>
  <c r="C74" i="5"/>
  <c r="C73" i="5"/>
  <c r="C72" i="5"/>
  <c r="C71" i="5"/>
  <c r="C70" i="5"/>
  <c r="C69" i="5"/>
  <c r="C68" i="5"/>
  <c r="C67" i="5"/>
  <c r="C64" i="5"/>
  <c r="C65" i="5"/>
  <c r="C66" i="5"/>
  <c r="C63" i="5"/>
  <c r="C62" i="5"/>
  <c r="C61" i="5"/>
  <c r="G66" i="5"/>
  <c r="G65" i="5"/>
  <c r="E65" i="5" s="1"/>
  <c r="D65" i="5" s="1"/>
  <c r="G64" i="5"/>
  <c r="E64" i="5"/>
  <c r="D64" i="5" s="1"/>
  <c r="G63" i="5"/>
  <c r="E63" i="5"/>
  <c r="D63" i="5" s="1"/>
  <c r="B67" i="33"/>
  <c r="B62" i="33"/>
  <c r="B61" i="33"/>
  <c r="B61" i="4"/>
  <c r="F66" i="33"/>
  <c r="D66" i="33" s="1"/>
  <c r="C66" i="33" s="1"/>
  <c r="F65" i="33"/>
  <c r="D65" i="33" s="1"/>
  <c r="C65" i="33" s="1"/>
  <c r="F64" i="33"/>
  <c r="D64" i="33" s="1"/>
  <c r="C64" i="33" s="1"/>
  <c r="F63" i="33"/>
  <c r="D63" i="33" s="1"/>
  <c r="C63" i="33" s="1"/>
  <c r="B45" i="7"/>
  <c r="F18" i="7"/>
  <c r="F19" i="7"/>
  <c r="B37" i="7"/>
  <c r="B36" i="7"/>
  <c r="B35" i="7"/>
  <c r="B23" i="7"/>
  <c r="B24" i="7"/>
  <c r="B26" i="7"/>
  <c r="B22" i="7"/>
  <c r="B21" i="7"/>
  <c r="C71" i="4"/>
  <c r="F66" i="4"/>
  <c r="F65" i="4"/>
  <c r="D65" i="4" s="1"/>
  <c r="C65" i="4" s="1"/>
  <c r="F64" i="4"/>
  <c r="D64" i="4" s="1"/>
  <c r="C64" i="4" s="1"/>
  <c r="F63" i="4"/>
  <c r="D63" i="4" s="1"/>
  <c r="C63" i="4" s="1"/>
  <c r="C76" i="4"/>
  <c r="G43" i="4"/>
  <c r="G42" i="4"/>
  <c r="B52" i="4"/>
  <c r="B53" i="4"/>
  <c r="B54" i="4"/>
  <c r="B55" i="4"/>
  <c r="B56" i="4"/>
  <c r="B57" i="4"/>
  <c r="B58" i="4"/>
  <c r="B47" i="4"/>
  <c r="B48" i="4"/>
  <c r="B49" i="4"/>
  <c r="B50" i="4"/>
  <c r="B51" i="4"/>
  <c r="B38" i="4"/>
  <c r="B39" i="4"/>
  <c r="B40" i="4"/>
  <c r="B41" i="4"/>
  <c r="B42" i="4"/>
  <c r="B43" i="4"/>
  <c r="B44" i="4"/>
  <c r="B46" i="4"/>
  <c r="B37" i="4"/>
  <c r="B36" i="4"/>
  <c r="B34" i="4"/>
  <c r="B33" i="4"/>
  <c r="B32" i="4"/>
  <c r="B31" i="4"/>
  <c r="B30" i="4"/>
  <c r="B29" i="4"/>
  <c r="B28" i="4"/>
  <c r="B27" i="4"/>
  <c r="B20" i="4"/>
  <c r="B19" i="4"/>
  <c r="B18" i="4"/>
  <c r="B17" i="4"/>
  <c r="B16" i="4"/>
  <c r="B15" i="4"/>
  <c r="B14" i="4"/>
  <c r="B13" i="4"/>
  <c r="B12" i="4"/>
  <c r="B11" i="4"/>
  <c r="B10" i="4"/>
  <c r="B9" i="4"/>
  <c r="O42" i="5"/>
  <c r="N42" i="5"/>
  <c r="M42" i="5"/>
  <c r="J42" i="5"/>
  <c r="I42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35" i="5"/>
  <c r="C27" i="5"/>
  <c r="C26" i="5"/>
  <c r="C24" i="5"/>
  <c r="C20" i="5"/>
  <c r="E57" i="5"/>
  <c r="D57" i="5" s="1"/>
  <c r="E56" i="5"/>
  <c r="D56" i="5" s="1"/>
  <c r="E54" i="5"/>
  <c r="D54" i="5" s="1"/>
  <c r="E53" i="5"/>
  <c r="D53" i="5" s="1"/>
  <c r="E52" i="5"/>
  <c r="D52" i="5" s="1"/>
  <c r="E51" i="5"/>
  <c r="D51" i="5" s="1"/>
  <c r="E49" i="5"/>
  <c r="D49" i="5" s="1"/>
  <c r="E48" i="5"/>
  <c r="D48" i="5" s="1"/>
  <c r="E47" i="5"/>
  <c r="D47" i="5" s="1"/>
  <c r="C43" i="5"/>
  <c r="C44" i="5"/>
  <c r="C37" i="5"/>
  <c r="C38" i="5"/>
  <c r="C39" i="5"/>
  <c r="C40" i="5"/>
  <c r="C41" i="5"/>
  <c r="C42" i="5"/>
  <c r="C36" i="5"/>
  <c r="E37" i="33"/>
  <c r="D37" i="33" s="1"/>
  <c r="E38" i="33"/>
  <c r="D38" i="33" s="1"/>
  <c r="E39" i="33"/>
  <c r="D39" i="33" s="1"/>
  <c r="E40" i="33"/>
  <c r="D40" i="33" s="1"/>
  <c r="E41" i="33"/>
  <c r="D41" i="33" s="1"/>
  <c r="E42" i="33"/>
  <c r="E43" i="33"/>
  <c r="D43" i="33" s="1"/>
  <c r="E44" i="33"/>
  <c r="D44" i="33" s="1"/>
  <c r="E36" i="33"/>
  <c r="B58" i="33"/>
  <c r="F64" i="26"/>
  <c r="D64" i="26" s="1"/>
  <c r="C64" i="26" s="1"/>
  <c r="F65" i="26"/>
  <c r="D65" i="26" s="1"/>
  <c r="C65" i="26" s="1"/>
  <c r="F63" i="26"/>
  <c r="D63" i="26" s="1"/>
  <c r="C63" i="26" s="1"/>
  <c r="B57" i="33"/>
  <c r="B56" i="33"/>
  <c r="B55" i="33"/>
  <c r="B54" i="33"/>
  <c r="B53" i="33"/>
  <c r="B52" i="33"/>
  <c r="B51" i="33"/>
  <c r="B50" i="33"/>
  <c r="B49" i="33"/>
  <c r="B48" i="33"/>
  <c r="B47" i="33"/>
  <c r="B46" i="33"/>
  <c r="B45" i="33"/>
  <c r="B59" i="33"/>
  <c r="F22" i="5"/>
  <c r="F23" i="5"/>
  <c r="F24" i="5"/>
  <c r="F25" i="5"/>
  <c r="F26" i="5"/>
  <c r="F21" i="5"/>
  <c r="F9" i="5"/>
  <c r="F10" i="5"/>
  <c r="F11" i="5"/>
  <c r="F12" i="5"/>
  <c r="F13" i="5"/>
  <c r="F14" i="5"/>
  <c r="F15" i="5"/>
  <c r="F16" i="5"/>
  <c r="F17" i="5"/>
  <c r="F18" i="5"/>
  <c r="F19" i="5"/>
  <c r="F8" i="5"/>
  <c r="C18" i="5"/>
  <c r="C19" i="5"/>
  <c r="E35" i="33"/>
  <c r="E80" i="33"/>
  <c r="E79" i="33"/>
  <c r="E78" i="33"/>
  <c r="E77" i="33"/>
  <c r="E29" i="33"/>
  <c r="E30" i="33"/>
  <c r="E31" i="33"/>
  <c r="E32" i="33"/>
  <c r="E33" i="33"/>
  <c r="E34" i="33"/>
  <c r="E28" i="33"/>
  <c r="F59" i="33"/>
  <c r="B44" i="33"/>
  <c r="B43" i="33"/>
  <c r="B42" i="33"/>
  <c r="B41" i="33"/>
  <c r="B40" i="33"/>
  <c r="B39" i="33"/>
  <c r="B37" i="33"/>
  <c r="B38" i="33"/>
  <c r="B36" i="33"/>
  <c r="B35" i="33"/>
  <c r="F34" i="33"/>
  <c r="B27" i="33"/>
  <c r="B20" i="33"/>
  <c r="B34" i="33"/>
  <c r="B8" i="21"/>
  <c r="B6" i="21"/>
  <c r="B5" i="21"/>
  <c r="C3" i="21"/>
  <c r="F15" i="7"/>
  <c r="F16" i="7"/>
  <c r="F17" i="7"/>
  <c r="B19" i="7"/>
  <c r="B20" i="7"/>
  <c r="B7" i="7"/>
  <c r="B7" i="4"/>
  <c r="C7" i="5"/>
  <c r="B7" i="33"/>
  <c r="B6" i="20"/>
  <c r="B5" i="20"/>
  <c r="B6" i="7"/>
  <c r="B5" i="7"/>
  <c r="B6" i="4"/>
  <c r="B5" i="4"/>
  <c r="C6" i="5"/>
  <c r="C5" i="5"/>
  <c r="B6" i="33"/>
  <c r="B5" i="33"/>
  <c r="C3" i="5"/>
  <c r="D2" i="33"/>
  <c r="C2" i="33"/>
  <c r="H7" i="26"/>
  <c r="I7" i="26"/>
  <c r="J7" i="26"/>
  <c r="K7" i="26"/>
  <c r="L7" i="26"/>
  <c r="M7" i="26"/>
  <c r="N7" i="26"/>
  <c r="O7" i="26"/>
  <c r="P7" i="26"/>
  <c r="Q7" i="26"/>
  <c r="R7" i="26"/>
  <c r="G7" i="26"/>
  <c r="F60" i="33"/>
  <c r="D60" i="33" s="1"/>
  <c r="C60" i="33" s="1"/>
  <c r="C59" i="33" s="1"/>
  <c r="F66" i="26"/>
  <c r="F40" i="26"/>
  <c r="D40" i="26" s="1"/>
  <c r="C40" i="26" s="1"/>
  <c r="F10" i="26"/>
  <c r="D10" i="26" s="1"/>
  <c r="C10" i="26" s="1"/>
  <c r="F11" i="26"/>
  <c r="D11" i="26" s="1"/>
  <c r="C11" i="26" s="1"/>
  <c r="F12" i="26"/>
  <c r="D12" i="26" s="1"/>
  <c r="C12" i="26" s="1"/>
  <c r="F13" i="26"/>
  <c r="D13" i="26" s="1"/>
  <c r="C13" i="26" s="1"/>
  <c r="F14" i="26"/>
  <c r="D14" i="26" s="1"/>
  <c r="C14" i="26" s="1"/>
  <c r="F15" i="26"/>
  <c r="D15" i="26" s="1"/>
  <c r="C15" i="26" s="1"/>
  <c r="F16" i="26"/>
  <c r="D16" i="26" s="1"/>
  <c r="C16" i="26" s="1"/>
  <c r="F17" i="26"/>
  <c r="D17" i="26" s="1"/>
  <c r="C17" i="26" s="1"/>
  <c r="F18" i="26"/>
  <c r="D18" i="26" s="1"/>
  <c r="C18" i="26" s="1"/>
  <c r="F19" i="26"/>
  <c r="D19" i="26" s="1"/>
  <c r="C19" i="26" s="1"/>
  <c r="G13" i="5"/>
  <c r="G14" i="5"/>
  <c r="G15" i="5"/>
  <c r="G16" i="5"/>
  <c r="B46" i="32"/>
  <c r="F29" i="26"/>
  <c r="D29" i="26" s="1"/>
  <c r="C29" i="26" s="1"/>
  <c r="F30" i="26"/>
  <c r="D30" i="26" s="1"/>
  <c r="C30" i="26" s="1"/>
  <c r="F31" i="26"/>
  <c r="D31" i="26" s="1"/>
  <c r="C31" i="26" s="1"/>
  <c r="F32" i="26"/>
  <c r="D32" i="26" s="1"/>
  <c r="C32" i="26" s="1"/>
  <c r="F33" i="26"/>
  <c r="D33" i="26" s="1"/>
  <c r="C33" i="26" s="1"/>
  <c r="F34" i="26"/>
  <c r="D34" i="26" s="1"/>
  <c r="C34" i="26" s="1"/>
  <c r="F23" i="26"/>
  <c r="D23" i="26" s="1"/>
  <c r="C23" i="26" s="1"/>
  <c r="F47" i="26"/>
  <c r="D47" i="26" s="1"/>
  <c r="C47" i="26" s="1"/>
  <c r="F48" i="26"/>
  <c r="D48" i="26" s="1"/>
  <c r="C48" i="26" s="1"/>
  <c r="F49" i="26"/>
  <c r="D49" i="26" s="1"/>
  <c r="C49" i="26" s="1"/>
  <c r="F50" i="26"/>
  <c r="D50" i="26" s="1"/>
  <c r="C50" i="26" s="1"/>
  <c r="F51" i="26"/>
  <c r="D51" i="26" s="1"/>
  <c r="C51" i="26" s="1"/>
  <c r="F52" i="26"/>
  <c r="D52" i="26" s="1"/>
  <c r="C52" i="26" s="1"/>
  <c r="F53" i="26"/>
  <c r="D53" i="26" s="1"/>
  <c r="C53" i="26" s="1"/>
  <c r="F54" i="26"/>
  <c r="D54" i="26" s="1"/>
  <c r="C54" i="26" s="1"/>
  <c r="F55" i="26"/>
  <c r="D55" i="26" s="1"/>
  <c r="C55" i="26" s="1"/>
  <c r="F56" i="26"/>
  <c r="D56" i="26" s="1"/>
  <c r="C56" i="26" s="1"/>
  <c r="F57" i="26"/>
  <c r="D57" i="26" s="1"/>
  <c r="C57" i="26" s="1"/>
  <c r="F58" i="26"/>
  <c r="D58" i="26" s="1"/>
  <c r="C58" i="26" s="1"/>
  <c r="F46" i="26"/>
  <c r="D46" i="26" s="1"/>
  <c r="C46" i="26" s="1"/>
  <c r="B3" i="33"/>
  <c r="F19" i="33"/>
  <c r="E9" i="33"/>
  <c r="E10" i="33"/>
  <c r="E11" i="33"/>
  <c r="E12" i="33"/>
  <c r="E13" i="33"/>
  <c r="E14" i="33"/>
  <c r="E15" i="33"/>
  <c r="E16" i="33"/>
  <c r="E17" i="33"/>
  <c r="E18" i="33"/>
  <c r="E19" i="33"/>
  <c r="E8" i="33"/>
  <c r="B9" i="33"/>
  <c r="B10" i="33"/>
  <c r="B11" i="33"/>
  <c r="B12" i="33"/>
  <c r="B13" i="33"/>
  <c r="B14" i="33"/>
  <c r="B15" i="33"/>
  <c r="B16" i="33"/>
  <c r="B17" i="33"/>
  <c r="B18" i="33"/>
  <c r="B19" i="33"/>
  <c r="F31" i="33"/>
  <c r="C31" i="33" s="1"/>
  <c r="F32" i="33"/>
  <c r="F33" i="33"/>
  <c r="C33" i="33" s="1"/>
  <c r="F29" i="33"/>
  <c r="C29" i="33" s="1"/>
  <c r="F22" i="33"/>
  <c r="C22" i="33" s="1"/>
  <c r="F23" i="33"/>
  <c r="C23" i="33" s="1"/>
  <c r="F24" i="33"/>
  <c r="D24" i="33" s="1"/>
  <c r="F25" i="33"/>
  <c r="D25" i="33" s="1"/>
  <c r="F26" i="33"/>
  <c r="C26" i="33" s="1"/>
  <c r="F21" i="33"/>
  <c r="C21" i="33" s="1"/>
  <c r="F15" i="33"/>
  <c r="F16" i="33"/>
  <c r="F3" i="32"/>
  <c r="B33" i="33"/>
  <c r="B32" i="33"/>
  <c r="B31" i="33"/>
  <c r="B30" i="33"/>
  <c r="B29" i="33"/>
  <c r="C29" i="5" s="1"/>
  <c r="B28" i="33"/>
  <c r="B25" i="26"/>
  <c r="B25" i="4" s="1"/>
  <c r="B24" i="33"/>
  <c r="B1" i="26"/>
  <c r="B60" i="26" s="1"/>
  <c r="B1" i="33"/>
  <c r="C1" i="5"/>
  <c r="C60" i="5" s="1"/>
  <c r="B1" i="4"/>
  <c r="B1" i="7"/>
  <c r="F8" i="26"/>
  <c r="D8" i="26" s="1"/>
  <c r="C8" i="26" s="1"/>
  <c r="B26" i="33"/>
  <c r="E23" i="33"/>
  <c r="E22" i="33"/>
  <c r="E21" i="33"/>
  <c r="F18" i="33"/>
  <c r="B3" i="32"/>
  <c r="B3" i="21"/>
  <c r="B3" i="20"/>
  <c r="B3" i="7"/>
  <c r="B3" i="4"/>
  <c r="B8" i="20"/>
  <c r="B34" i="7"/>
  <c r="B33" i="7"/>
  <c r="B32" i="7"/>
  <c r="B31" i="7"/>
  <c r="B30" i="7"/>
  <c r="B28" i="7"/>
  <c r="B18" i="7"/>
  <c r="B17" i="7"/>
  <c r="B16" i="7"/>
  <c r="B15" i="7"/>
  <c r="B14" i="7"/>
  <c r="B13" i="7"/>
  <c r="B12" i="7"/>
  <c r="B11" i="7"/>
  <c r="B10" i="7"/>
  <c r="B9" i="7"/>
  <c r="B8" i="7"/>
  <c r="R7" i="4"/>
  <c r="Q7" i="4"/>
  <c r="P7" i="4"/>
  <c r="O7" i="4"/>
  <c r="N7" i="4"/>
  <c r="M7" i="4"/>
  <c r="L7" i="4"/>
  <c r="K7" i="4"/>
  <c r="I7" i="4"/>
  <c r="H7" i="4"/>
  <c r="G7" i="4"/>
  <c r="D58" i="33"/>
  <c r="C58" i="33" s="1"/>
  <c r="G51" i="33"/>
  <c r="G45" i="33" s="1"/>
  <c r="D49" i="33"/>
  <c r="C49" i="33" s="1"/>
  <c r="R45" i="33"/>
  <c r="Q45" i="33"/>
  <c r="P45" i="33"/>
  <c r="O45" i="33"/>
  <c r="N45" i="33"/>
  <c r="M45" i="33"/>
  <c r="L45" i="33"/>
  <c r="K45" i="33"/>
  <c r="J45" i="33"/>
  <c r="I45" i="33"/>
  <c r="H45" i="33"/>
  <c r="L42" i="33"/>
  <c r="F42" i="33" s="1"/>
  <c r="C42" i="33" s="1"/>
  <c r="R80" i="33"/>
  <c r="Q80" i="33"/>
  <c r="P80" i="33"/>
  <c r="O80" i="33"/>
  <c r="N80" i="33"/>
  <c r="L80" i="33"/>
  <c r="K80" i="33"/>
  <c r="J80" i="33"/>
  <c r="I80" i="33"/>
  <c r="H80" i="33"/>
  <c r="G80" i="33"/>
  <c r="R79" i="33"/>
  <c r="Q79" i="33"/>
  <c r="F78" i="33"/>
  <c r="F77" i="33"/>
  <c r="R30" i="33"/>
  <c r="Q30" i="33"/>
  <c r="N30" i="33"/>
  <c r="L30" i="33"/>
  <c r="K30" i="33"/>
  <c r="G30" i="33"/>
  <c r="F28" i="33"/>
  <c r="C28" i="33" s="1"/>
  <c r="B23" i="33"/>
  <c r="B22" i="33"/>
  <c r="B21" i="33"/>
  <c r="F17" i="33"/>
  <c r="Q7" i="33"/>
  <c r="P7" i="33"/>
  <c r="O7" i="33"/>
  <c r="N14" i="33"/>
  <c r="M14" i="33"/>
  <c r="K14" i="33"/>
  <c r="K7" i="33" s="1"/>
  <c r="J14" i="33"/>
  <c r="J7" i="33" s="1"/>
  <c r="I14" i="33"/>
  <c r="H14" i="33"/>
  <c r="H7" i="33" s="1"/>
  <c r="G14" i="33"/>
  <c r="G7" i="33" s="1"/>
  <c r="M13" i="33"/>
  <c r="F13" i="33" s="1"/>
  <c r="F12" i="33"/>
  <c r="F11" i="33"/>
  <c r="F10" i="33"/>
  <c r="F9" i="33"/>
  <c r="R8" i="33"/>
  <c r="R7" i="33" s="1"/>
  <c r="N8" i="33"/>
  <c r="M8" i="33"/>
  <c r="L8" i="33"/>
  <c r="B8" i="33"/>
  <c r="R4" i="33"/>
  <c r="H4" i="33"/>
  <c r="I3" i="33" s="1"/>
  <c r="R3" i="33"/>
  <c r="Q3" i="33"/>
  <c r="P3" i="33"/>
  <c r="O3" i="33"/>
  <c r="N3" i="33"/>
  <c r="M3" i="33"/>
  <c r="L3" i="33"/>
  <c r="K3" i="33"/>
  <c r="J4" i="33" s="1"/>
  <c r="J3" i="33" s="1"/>
  <c r="G3" i="33"/>
  <c r="G4" i="33" s="1"/>
  <c r="V1" i="33"/>
  <c r="G1" i="33"/>
  <c r="A1" i="33"/>
  <c r="B26" i="4"/>
  <c r="B24" i="4"/>
  <c r="B23" i="4"/>
  <c r="B22" i="4"/>
  <c r="B21" i="4"/>
  <c r="A14" i="4"/>
  <c r="C34" i="5"/>
  <c r="C33" i="5"/>
  <c r="C32" i="5"/>
  <c r="C31" i="5"/>
  <c r="C30" i="5"/>
  <c r="C28" i="5"/>
  <c r="C23" i="5"/>
  <c r="C22" i="5"/>
  <c r="C21" i="5"/>
  <c r="C16" i="5"/>
  <c r="C17" i="5"/>
  <c r="C15" i="5"/>
  <c r="C14" i="5"/>
  <c r="C13" i="5"/>
  <c r="C12" i="5"/>
  <c r="C11" i="5"/>
  <c r="C10" i="5"/>
  <c r="C9" i="5"/>
  <c r="B8" i="4"/>
  <c r="C8" i="5"/>
  <c r="A3" i="7"/>
  <c r="A2" i="7"/>
  <c r="G4" i="4"/>
  <c r="H4" i="4" s="1"/>
  <c r="I4" i="4" s="1"/>
  <c r="J4" i="4" s="1"/>
  <c r="K4" i="4" s="1"/>
  <c r="L4" i="4" s="1"/>
  <c r="M4" i="4" s="1"/>
  <c r="N4" i="4" s="1"/>
  <c r="O4" i="4" s="1"/>
  <c r="P4" i="4" s="1"/>
  <c r="Q4" i="4" s="1"/>
  <c r="R4" i="4" s="1"/>
  <c r="A1" i="4"/>
  <c r="B28" i="5"/>
  <c r="B12" i="5"/>
  <c r="B11" i="5"/>
  <c r="B10" i="5"/>
  <c r="B9" i="5"/>
  <c r="B8" i="5"/>
  <c r="B1" i="5"/>
  <c r="A1" i="26"/>
  <c r="G4" i="26"/>
  <c r="H4" i="26" s="1"/>
  <c r="I4" i="26" s="1"/>
  <c r="J4" i="26" s="1"/>
  <c r="K4" i="26" s="1"/>
  <c r="L4" i="26" s="1"/>
  <c r="M4" i="26" s="1"/>
  <c r="N4" i="26" s="1"/>
  <c r="O4" i="26" s="1"/>
  <c r="P4" i="26" s="1"/>
  <c r="Q4" i="26" s="1"/>
  <c r="R4" i="26" s="1"/>
  <c r="N3" i="32"/>
  <c r="M3" i="32"/>
  <c r="L3" i="32"/>
  <c r="J3" i="32"/>
  <c r="I3" i="32"/>
  <c r="G3" i="32"/>
  <c r="G4" i="32"/>
  <c r="H4" i="32" s="1"/>
  <c r="Q3" i="21"/>
  <c r="F3" i="21" s="1"/>
  <c r="G1" i="26"/>
  <c r="R3" i="21"/>
  <c r="F57" i="32"/>
  <c r="D57" i="32" s="1"/>
  <c r="C57" i="32" s="1"/>
  <c r="F56" i="32"/>
  <c r="D56" i="32" s="1"/>
  <c r="C56" i="32" s="1"/>
  <c r="F55" i="32"/>
  <c r="D55" i="32"/>
  <c r="C55" i="32" s="1"/>
  <c r="F54" i="32"/>
  <c r="D54" i="32" s="1"/>
  <c r="C54" i="32" s="1"/>
  <c r="F53" i="32"/>
  <c r="D53" i="32"/>
  <c r="C53" i="32" s="1"/>
  <c r="F52" i="32"/>
  <c r="D52" i="32" s="1"/>
  <c r="C52" i="32" s="1"/>
  <c r="F51" i="32"/>
  <c r="D51" i="32" s="1"/>
  <c r="C51" i="32" s="1"/>
  <c r="F50" i="32"/>
  <c r="D50" i="32" s="1"/>
  <c r="C50" i="32" s="1"/>
  <c r="F49" i="32"/>
  <c r="D49" i="32" s="1"/>
  <c r="C49" i="32" s="1"/>
  <c r="R48" i="32"/>
  <c r="Q48" i="32"/>
  <c r="P48" i="32"/>
  <c r="O48" i="32"/>
  <c r="N48" i="32"/>
  <c r="M48" i="32"/>
  <c r="L48" i="32"/>
  <c r="K48" i="32"/>
  <c r="J48" i="32"/>
  <c r="I48" i="32"/>
  <c r="H48" i="32"/>
  <c r="G48" i="32"/>
  <c r="J46" i="32"/>
  <c r="F46" i="32" s="1"/>
  <c r="F42" i="32"/>
  <c r="C39" i="32" s="1"/>
  <c r="F41" i="32"/>
  <c r="F40" i="32"/>
  <c r="E38" i="32"/>
  <c r="C38" i="32"/>
  <c r="E37" i="32"/>
  <c r="C37" i="32" s="1"/>
  <c r="F36" i="32"/>
  <c r="F35" i="32"/>
  <c r="F34" i="32"/>
  <c r="F33" i="32"/>
  <c r="F31" i="32"/>
  <c r="D31" i="32"/>
  <c r="F30" i="32"/>
  <c r="D30" i="32"/>
  <c r="F29" i="32"/>
  <c r="D29" i="32"/>
  <c r="F28" i="32"/>
  <c r="D28" i="32"/>
  <c r="F26" i="32"/>
  <c r="C26" i="32" s="1"/>
  <c r="F25" i="32"/>
  <c r="C25" i="32"/>
  <c r="C24" i="32"/>
  <c r="F22" i="32"/>
  <c r="C22" i="32" s="1"/>
  <c r="F21" i="32"/>
  <c r="C21" i="32"/>
  <c r="F20" i="32"/>
  <c r="C20" i="32" s="1"/>
  <c r="F19" i="32"/>
  <c r="C19" i="32" s="1"/>
  <c r="F16" i="32"/>
  <c r="D16" i="32"/>
  <c r="C16" i="32"/>
  <c r="F14" i="32"/>
  <c r="D14" i="32" s="1"/>
  <c r="F13" i="32"/>
  <c r="D13" i="32" s="1"/>
  <c r="F12" i="32"/>
  <c r="D12" i="32"/>
  <c r="F11" i="32"/>
  <c r="D11" i="32"/>
  <c r="F10" i="32"/>
  <c r="D10" i="32" s="1"/>
  <c r="F9" i="32"/>
  <c r="D9" i="32" s="1"/>
  <c r="F8" i="32"/>
  <c r="D8" i="32" s="1"/>
  <c r="R7" i="32"/>
  <c r="Q7" i="32"/>
  <c r="P7" i="32"/>
  <c r="O7" i="32"/>
  <c r="N7" i="32"/>
  <c r="M7" i="32"/>
  <c r="L7" i="32"/>
  <c r="K7" i="32"/>
  <c r="J7" i="32"/>
  <c r="I7" i="32"/>
  <c r="H7" i="32"/>
  <c r="G7" i="32"/>
  <c r="F27" i="31"/>
  <c r="F22" i="31"/>
  <c r="F21" i="31"/>
  <c r="F20" i="31"/>
  <c r="F19" i="31"/>
  <c r="F17" i="31"/>
  <c r="F16" i="31"/>
  <c r="F15" i="31"/>
  <c r="F14" i="31"/>
  <c r="F13" i="31"/>
  <c r="F11" i="31"/>
  <c r="F10" i="31"/>
  <c r="F9" i="31"/>
  <c r="F8" i="31"/>
  <c r="F7" i="31"/>
  <c r="F6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 s="1"/>
  <c r="F30" i="31" s="1"/>
  <c r="R3" i="31"/>
  <c r="Q3" i="31"/>
  <c r="P3" i="31"/>
  <c r="O3" i="31"/>
  <c r="N3" i="31"/>
  <c r="M3" i="31"/>
  <c r="L3" i="31"/>
  <c r="K3" i="31"/>
  <c r="J3" i="31"/>
  <c r="I3" i="31"/>
  <c r="H3" i="31"/>
  <c r="G3" i="31"/>
  <c r="F27" i="30"/>
  <c r="F22" i="30"/>
  <c r="F21" i="30"/>
  <c r="F20" i="30"/>
  <c r="F19" i="30"/>
  <c r="F17" i="30"/>
  <c r="F16" i="30"/>
  <c r="F15" i="30"/>
  <c r="F14" i="30"/>
  <c r="F13" i="30"/>
  <c r="F11" i="30"/>
  <c r="F10" i="30"/>
  <c r="F9" i="30"/>
  <c r="F8" i="30"/>
  <c r="F7" i="30"/>
  <c r="F6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F30" i="30" s="1"/>
  <c r="R3" i="30"/>
  <c r="Q3" i="30"/>
  <c r="P3" i="30"/>
  <c r="O3" i="30"/>
  <c r="N3" i="30"/>
  <c r="M3" i="30"/>
  <c r="L3" i="30"/>
  <c r="K3" i="30"/>
  <c r="J3" i="30"/>
  <c r="I3" i="30"/>
  <c r="H3" i="30"/>
  <c r="G3" i="30"/>
  <c r="L5" i="3"/>
  <c r="B1" i="12" s="1"/>
  <c r="F1" i="12" s="1"/>
  <c r="H31" i="29"/>
  <c r="H30" i="29"/>
  <c r="H29" i="29"/>
  <c r="H28" i="29"/>
  <c r="H27" i="29"/>
  <c r="H26" i="29"/>
  <c r="H25" i="29"/>
  <c r="H24" i="29"/>
  <c r="H23" i="29"/>
  <c r="H22" i="29"/>
  <c r="H21" i="29"/>
  <c r="H20" i="29"/>
  <c r="H19" i="29"/>
  <c r="H18" i="29"/>
  <c r="H17" i="29"/>
  <c r="H16" i="29"/>
  <c r="H14" i="29"/>
  <c r="H13" i="29"/>
  <c r="H12" i="29"/>
  <c r="H11" i="29"/>
  <c r="H10" i="29"/>
  <c r="H9" i="29"/>
  <c r="H8" i="29"/>
  <c r="H7" i="29"/>
  <c r="H6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H3" i="29"/>
  <c r="J52" i="21"/>
  <c r="F52" i="21" s="1"/>
  <c r="F9" i="26"/>
  <c r="D9" i="26" s="1"/>
  <c r="C9" i="26" s="1"/>
  <c r="F60" i="26"/>
  <c r="D60" i="26" s="1"/>
  <c r="C60" i="26" s="1"/>
  <c r="F44" i="26"/>
  <c r="D44" i="26" s="1"/>
  <c r="C44" i="26" s="1"/>
  <c r="F43" i="26"/>
  <c r="D43" i="26" s="1"/>
  <c r="C43" i="26" s="1"/>
  <c r="F42" i="26"/>
  <c r="D42" i="26" s="1"/>
  <c r="C42" i="26" s="1"/>
  <c r="F41" i="26"/>
  <c r="D41" i="26" s="1"/>
  <c r="C41" i="26" s="1"/>
  <c r="F39" i="26"/>
  <c r="F38" i="26"/>
  <c r="F37" i="26"/>
  <c r="D37" i="26" s="1"/>
  <c r="C37" i="26" s="1"/>
  <c r="F36" i="26"/>
  <c r="D36" i="26" s="1"/>
  <c r="C36" i="26" s="1"/>
  <c r="F26" i="26"/>
  <c r="D26" i="26" s="1"/>
  <c r="C26" i="26" s="1"/>
  <c r="F22" i="26"/>
  <c r="D22" i="26" s="1"/>
  <c r="C22" i="26" s="1"/>
  <c r="F21" i="26"/>
  <c r="D21" i="26" s="1"/>
  <c r="C21" i="26" s="1"/>
  <c r="F80" i="26"/>
  <c r="D80" i="26" s="1"/>
  <c r="C80" i="26" s="1"/>
  <c r="F79" i="26"/>
  <c r="D79" i="26" s="1"/>
  <c r="C79" i="26" s="1"/>
  <c r="F78" i="26"/>
  <c r="D78" i="26" s="1"/>
  <c r="C78" i="26" s="1"/>
  <c r="F77" i="26"/>
  <c r="D77" i="26" s="1"/>
  <c r="C77" i="26" s="1"/>
  <c r="F25" i="26"/>
  <c r="D25" i="26" s="1"/>
  <c r="C25" i="26" s="1"/>
  <c r="F24" i="26"/>
  <c r="D24" i="26" s="1"/>
  <c r="C24" i="26" s="1"/>
  <c r="F28" i="26"/>
  <c r="D28" i="26" s="1"/>
  <c r="C28" i="26" s="1"/>
  <c r="F3" i="26"/>
  <c r="C3" i="26" s="1"/>
  <c r="F3" i="7"/>
  <c r="C3" i="7" s="1"/>
  <c r="C6" i="7" s="1"/>
  <c r="I12" i="3" s="1"/>
  <c r="N54" i="7"/>
  <c r="M54" i="7"/>
  <c r="F40" i="7"/>
  <c r="D40" i="7" s="1"/>
  <c r="M46" i="7"/>
  <c r="F46" i="7" s="1"/>
  <c r="F47" i="7"/>
  <c r="F48" i="7"/>
  <c r="F26" i="7"/>
  <c r="H36" i="7"/>
  <c r="M11" i="7"/>
  <c r="G4" i="7"/>
  <c r="H4" i="7" s="1"/>
  <c r="I4" i="7" s="1"/>
  <c r="J4" i="7" s="1"/>
  <c r="K4" i="7" s="1"/>
  <c r="L4" i="7" s="1"/>
  <c r="M4" i="7" s="1"/>
  <c r="N4" i="7" s="1"/>
  <c r="O4" i="7" s="1"/>
  <c r="P4" i="7" s="1"/>
  <c r="Q4" i="7" s="1"/>
  <c r="R4" i="7" s="1"/>
  <c r="R3" i="20"/>
  <c r="P3" i="20"/>
  <c r="N3" i="20"/>
  <c r="M3" i="20"/>
  <c r="L3" i="20"/>
  <c r="J3" i="20"/>
  <c r="I3" i="20"/>
  <c r="H3" i="20"/>
  <c r="G3" i="20"/>
  <c r="G4" i="20" s="1"/>
  <c r="F27" i="23"/>
  <c r="F22" i="23"/>
  <c r="F21" i="23"/>
  <c r="F20" i="23"/>
  <c r="F19" i="23"/>
  <c r="F17" i="23"/>
  <c r="F16" i="23"/>
  <c r="F15" i="23"/>
  <c r="F14" i="23"/>
  <c r="F13" i="23"/>
  <c r="F11" i="23"/>
  <c r="F10" i="23"/>
  <c r="F9" i="23"/>
  <c r="F8" i="23"/>
  <c r="F7" i="23"/>
  <c r="F6" i="23"/>
  <c r="R5" i="23"/>
  <c r="Q5" i="23"/>
  <c r="P5" i="23"/>
  <c r="O5" i="23"/>
  <c r="N5" i="23"/>
  <c r="M5" i="23"/>
  <c r="L5" i="23"/>
  <c r="K5" i="23"/>
  <c r="J5" i="23"/>
  <c r="I5" i="23"/>
  <c r="H5" i="23"/>
  <c r="G5" i="23"/>
  <c r="F5" i="23"/>
  <c r="F30" i="23" s="1"/>
  <c r="R3" i="23"/>
  <c r="Q3" i="23"/>
  <c r="P3" i="23"/>
  <c r="O3" i="23"/>
  <c r="N3" i="23"/>
  <c r="M3" i="23"/>
  <c r="L3" i="23"/>
  <c r="K3" i="23"/>
  <c r="J3" i="23"/>
  <c r="I3" i="23"/>
  <c r="H3" i="23"/>
  <c r="G3" i="23"/>
  <c r="H31" i="22"/>
  <c r="H30" i="22"/>
  <c r="H29" i="22"/>
  <c r="H28" i="22"/>
  <c r="H27" i="22"/>
  <c r="H26" i="22"/>
  <c r="H25" i="22"/>
  <c r="H24" i="22"/>
  <c r="H23" i="22"/>
  <c r="H22" i="22"/>
  <c r="H21" i="22"/>
  <c r="H20" i="22"/>
  <c r="H19" i="22"/>
  <c r="H18" i="22"/>
  <c r="H17" i="22"/>
  <c r="H16" i="22"/>
  <c r="H14" i="22"/>
  <c r="H13" i="22"/>
  <c r="H12" i="22"/>
  <c r="H11" i="22"/>
  <c r="H10" i="22"/>
  <c r="H9" i="22"/>
  <c r="H8" i="22"/>
  <c r="H7" i="22"/>
  <c r="H6" i="22"/>
  <c r="T5" i="22"/>
  <c r="S5" i="22"/>
  <c r="R5" i="22"/>
  <c r="Q5" i="22"/>
  <c r="P5" i="22"/>
  <c r="O5" i="22"/>
  <c r="N5" i="22"/>
  <c r="M5" i="22"/>
  <c r="L5" i="22"/>
  <c r="K5" i="22"/>
  <c r="J5" i="22"/>
  <c r="I5" i="22"/>
  <c r="H5" i="22"/>
  <c r="H3" i="22"/>
  <c r="C5" i="19"/>
  <c r="D5" i="19"/>
  <c r="E5" i="19"/>
  <c r="F63" i="21"/>
  <c r="D63" i="21" s="1"/>
  <c r="C63" i="21" s="1"/>
  <c r="F62" i="21"/>
  <c r="D62" i="21" s="1"/>
  <c r="C62" i="21" s="1"/>
  <c r="F61" i="21"/>
  <c r="D61" i="21" s="1"/>
  <c r="C61" i="21" s="1"/>
  <c r="F60" i="21"/>
  <c r="D60" i="21" s="1"/>
  <c r="C60" i="21" s="1"/>
  <c r="F59" i="21"/>
  <c r="D59" i="21" s="1"/>
  <c r="C59" i="21" s="1"/>
  <c r="F58" i="21"/>
  <c r="D58" i="21" s="1"/>
  <c r="C58" i="21" s="1"/>
  <c r="F57" i="21"/>
  <c r="D57" i="21" s="1"/>
  <c r="C57" i="21" s="1"/>
  <c r="F56" i="21"/>
  <c r="D56" i="21" s="1"/>
  <c r="C56" i="21" s="1"/>
  <c r="F55" i="21"/>
  <c r="D55" i="21" s="1"/>
  <c r="C55" i="21" s="1"/>
  <c r="R54" i="21"/>
  <c r="Q54" i="21"/>
  <c r="P54" i="21"/>
  <c r="O54" i="21"/>
  <c r="N54" i="21"/>
  <c r="M54" i="21"/>
  <c r="L54" i="21"/>
  <c r="K54" i="21"/>
  <c r="J54" i="21"/>
  <c r="I54" i="21"/>
  <c r="H54" i="21"/>
  <c r="G54" i="21"/>
  <c r="F48" i="21"/>
  <c r="F47" i="21"/>
  <c r="F46" i="21"/>
  <c r="E44" i="21"/>
  <c r="C44" i="21" s="1"/>
  <c r="E43" i="21"/>
  <c r="C43" i="21" s="1"/>
  <c r="F42" i="21"/>
  <c r="F41" i="21"/>
  <c r="F40" i="21"/>
  <c r="F39" i="21"/>
  <c r="F37" i="21"/>
  <c r="D37" i="21" s="1"/>
  <c r="F36" i="21"/>
  <c r="D36" i="21"/>
  <c r="F35" i="21"/>
  <c r="D35" i="21" s="1"/>
  <c r="F34" i="21"/>
  <c r="C34" i="21" s="1"/>
  <c r="F33" i="21"/>
  <c r="C33" i="21" s="1"/>
  <c r="C32" i="21"/>
  <c r="F30" i="21"/>
  <c r="C30" i="21" s="1"/>
  <c r="F29" i="21"/>
  <c r="C29" i="21" s="1"/>
  <c r="F28" i="21"/>
  <c r="C28" i="21" s="1"/>
  <c r="F27" i="21"/>
  <c r="C27" i="21" s="1"/>
  <c r="D13" i="21"/>
  <c r="D12" i="21"/>
  <c r="D9" i="21"/>
  <c r="F8" i="21"/>
  <c r="R7" i="21"/>
  <c r="Q7" i="21"/>
  <c r="P7" i="21"/>
  <c r="O7" i="21"/>
  <c r="N7" i="21"/>
  <c r="M7" i="21"/>
  <c r="L7" i="21"/>
  <c r="K7" i="21"/>
  <c r="J7" i="21"/>
  <c r="I7" i="21"/>
  <c r="H7" i="21"/>
  <c r="G7" i="21"/>
  <c r="G4" i="21"/>
  <c r="H4" i="21" s="1"/>
  <c r="I4" i="21" s="1"/>
  <c r="F79" i="20"/>
  <c r="D79" i="20" s="1"/>
  <c r="C79" i="20" s="1"/>
  <c r="F78" i="20"/>
  <c r="D78" i="20" s="1"/>
  <c r="C78" i="20" s="1"/>
  <c r="F77" i="20"/>
  <c r="D77" i="20" s="1"/>
  <c r="C77" i="20" s="1"/>
  <c r="F75" i="20"/>
  <c r="D75" i="20" s="1"/>
  <c r="C75" i="20" s="1"/>
  <c r="F74" i="20"/>
  <c r="D74" i="20" s="1"/>
  <c r="C74" i="20" s="1"/>
  <c r="F73" i="20"/>
  <c r="D73" i="20" s="1"/>
  <c r="C73" i="20" s="1"/>
  <c r="F72" i="20"/>
  <c r="D72" i="20" s="1"/>
  <c r="C72" i="20" s="1"/>
  <c r="P70" i="20"/>
  <c r="P67" i="20" s="1"/>
  <c r="N70" i="20"/>
  <c r="N67" i="20" s="1"/>
  <c r="M70" i="20"/>
  <c r="M67" i="20" s="1"/>
  <c r="K70" i="20"/>
  <c r="K67" i="20" s="1"/>
  <c r="F68" i="20"/>
  <c r="F44" i="20"/>
  <c r="F43" i="20"/>
  <c r="F42" i="20"/>
  <c r="D42" i="20" s="1"/>
  <c r="F41" i="20"/>
  <c r="F40" i="20"/>
  <c r="F39" i="20"/>
  <c r="D39" i="20" s="1"/>
  <c r="F38" i="20"/>
  <c r="D38" i="20" s="1"/>
  <c r="F37" i="20"/>
  <c r="F36" i="20"/>
  <c r="F34" i="20"/>
  <c r="C34" i="20" s="1"/>
  <c r="F33" i="20"/>
  <c r="C33" i="20" s="1"/>
  <c r="F32" i="20"/>
  <c r="C32" i="20" s="1"/>
  <c r="F31" i="20"/>
  <c r="C31" i="20" s="1"/>
  <c r="F14" i="20"/>
  <c r="F13" i="20"/>
  <c r="F12" i="20"/>
  <c r="D12" i="20" s="1"/>
  <c r="C12" i="20" s="1"/>
  <c r="F11" i="20"/>
  <c r="F10" i="20"/>
  <c r="F9" i="20"/>
  <c r="F8" i="20"/>
  <c r="R7" i="20"/>
  <c r="Q7" i="20"/>
  <c r="P7" i="20"/>
  <c r="O7" i="20"/>
  <c r="N7" i="20"/>
  <c r="M7" i="20"/>
  <c r="L7" i="20"/>
  <c r="K7" i="20"/>
  <c r="J7" i="20"/>
  <c r="I7" i="20"/>
  <c r="H7" i="20"/>
  <c r="G7" i="20"/>
  <c r="S17" i="5"/>
  <c r="Q17" i="5"/>
  <c r="N17" i="5"/>
  <c r="N30" i="5"/>
  <c r="M3" i="5"/>
  <c r="L3" i="5"/>
  <c r="L17" i="5"/>
  <c r="K3" i="5"/>
  <c r="J3" i="5"/>
  <c r="J17" i="5"/>
  <c r="I3" i="5"/>
  <c r="H3" i="5"/>
  <c r="H4" i="5" s="1"/>
  <c r="G60" i="5"/>
  <c r="G18" i="5"/>
  <c r="G80" i="5"/>
  <c r="E80" i="5" s="1"/>
  <c r="G79" i="5"/>
  <c r="E79" i="5" s="1"/>
  <c r="G78" i="5"/>
  <c r="E78" i="5" s="1"/>
  <c r="E77" i="5"/>
  <c r="G28" i="5"/>
  <c r="D28" i="5" s="1"/>
  <c r="G12" i="5"/>
  <c r="G11" i="5"/>
  <c r="G10" i="5"/>
  <c r="G9" i="5"/>
  <c r="N8" i="5"/>
  <c r="M8" i="5"/>
  <c r="M7" i="5" s="1"/>
  <c r="S7" i="5"/>
  <c r="R7" i="5"/>
  <c r="Q7" i="5"/>
  <c r="P7" i="5"/>
  <c r="O7" i="5"/>
  <c r="L7" i="5"/>
  <c r="J7" i="5"/>
  <c r="I7" i="5"/>
  <c r="H7" i="5"/>
  <c r="E29" i="14"/>
  <c r="E28" i="14"/>
  <c r="J26" i="14"/>
  <c r="H26" i="14"/>
  <c r="J25" i="14"/>
  <c r="J5" i="14" s="1"/>
  <c r="I24" i="14"/>
  <c r="E24" i="14" s="1"/>
  <c r="I23" i="14"/>
  <c r="E23" i="14" s="1"/>
  <c r="I22" i="14"/>
  <c r="E22" i="14"/>
  <c r="E21" i="14"/>
  <c r="E20" i="14"/>
  <c r="N19" i="14"/>
  <c r="M19" i="14"/>
  <c r="M5" i="14" s="1"/>
  <c r="L19" i="14"/>
  <c r="L5" i="14" s="1"/>
  <c r="K19" i="14"/>
  <c r="K5" i="14" s="1"/>
  <c r="I19" i="14"/>
  <c r="F19" i="14"/>
  <c r="E19" i="14" s="1"/>
  <c r="E18" i="14"/>
  <c r="E17" i="14"/>
  <c r="Q15" i="14"/>
  <c r="E15" i="14"/>
  <c r="E14" i="14"/>
  <c r="E13" i="14"/>
  <c r="E12" i="14"/>
  <c r="E11" i="14"/>
  <c r="E10" i="14"/>
  <c r="E9" i="14"/>
  <c r="E8" i="14"/>
  <c r="E7" i="14"/>
  <c r="Q5" i="14"/>
  <c r="P5" i="14"/>
  <c r="O5" i="14"/>
  <c r="N5" i="14"/>
  <c r="H5" i="14"/>
  <c r="G5" i="14"/>
  <c r="F5" i="14"/>
  <c r="F4" i="14"/>
  <c r="E3" i="14"/>
  <c r="F1" i="14"/>
  <c r="F22" i="19"/>
  <c r="F23" i="19"/>
  <c r="F24" i="19"/>
  <c r="F25" i="19"/>
  <c r="F26" i="19"/>
  <c r="G5" i="19"/>
  <c r="F7" i="19"/>
  <c r="F6" i="19"/>
  <c r="E6" i="19" s="1"/>
  <c r="D1" i="19"/>
  <c r="D3" i="17"/>
  <c r="D1" i="17"/>
  <c r="F27" i="19"/>
  <c r="F21" i="19"/>
  <c r="F20" i="19"/>
  <c r="F19" i="19"/>
  <c r="F18" i="19"/>
  <c r="F17" i="19"/>
  <c r="E17" i="19"/>
  <c r="F16" i="19"/>
  <c r="E16" i="19"/>
  <c r="F14" i="19"/>
  <c r="F13" i="19"/>
  <c r="F12" i="19"/>
  <c r="F11" i="19"/>
  <c r="F10" i="19"/>
  <c r="F9" i="19"/>
  <c r="E9" i="19" s="1"/>
  <c r="F8" i="19"/>
  <c r="E8" i="19" s="1"/>
  <c r="E7" i="19"/>
  <c r="R5" i="19"/>
  <c r="Q5" i="19"/>
  <c r="P5" i="19"/>
  <c r="O5" i="19"/>
  <c r="N5" i="19"/>
  <c r="M5" i="19"/>
  <c r="L5" i="19"/>
  <c r="F5" i="19" s="1"/>
  <c r="K5" i="19"/>
  <c r="J5" i="19"/>
  <c r="I5" i="19"/>
  <c r="H5" i="19"/>
  <c r="F3" i="19"/>
  <c r="D3" i="19"/>
  <c r="C3" i="19"/>
  <c r="F53" i="17"/>
  <c r="F29" i="17"/>
  <c r="F30" i="17"/>
  <c r="F31" i="17"/>
  <c r="F32" i="17"/>
  <c r="F33" i="17"/>
  <c r="F34" i="17"/>
  <c r="F28" i="17"/>
  <c r="E35" i="17" s="1"/>
  <c r="I27" i="17"/>
  <c r="J27" i="17"/>
  <c r="K27" i="17"/>
  <c r="L27" i="17"/>
  <c r="M27" i="17"/>
  <c r="N27" i="17"/>
  <c r="O27" i="17"/>
  <c r="P27" i="17"/>
  <c r="Q27" i="17"/>
  <c r="R27" i="17"/>
  <c r="H27" i="17"/>
  <c r="G27" i="17"/>
  <c r="F23" i="17"/>
  <c r="F24" i="17"/>
  <c r="F25" i="17"/>
  <c r="F26" i="17"/>
  <c r="F14" i="17"/>
  <c r="F15" i="17"/>
  <c r="F16" i="17"/>
  <c r="F17" i="17"/>
  <c r="F18" i="17"/>
  <c r="F19" i="17"/>
  <c r="F20" i="17"/>
  <c r="F6" i="17"/>
  <c r="F7" i="17"/>
  <c r="F8" i="17"/>
  <c r="F9" i="17"/>
  <c r="F10" i="17"/>
  <c r="F11" i="17"/>
  <c r="F12" i="17"/>
  <c r="Q70" i="20" l="1"/>
  <c r="Q67" i="20" s="1"/>
  <c r="H70" i="20"/>
  <c r="F70" i="20"/>
  <c r="H67" i="20"/>
  <c r="C35" i="20"/>
  <c r="D43" i="20"/>
  <c r="D29" i="20"/>
  <c r="D16" i="20"/>
  <c r="C16" i="20" s="1"/>
  <c r="D47" i="20"/>
  <c r="D46" i="20"/>
  <c r="D17" i="20"/>
  <c r="C17" i="20" s="1"/>
  <c r="D15" i="20"/>
  <c r="C15" i="20" s="1"/>
  <c r="C27" i="20"/>
  <c r="C20" i="20"/>
  <c r="D8" i="20"/>
  <c r="C8" i="20" s="1"/>
  <c r="D9" i="20"/>
  <c r="C9" i="20" s="1"/>
  <c r="D10" i="21"/>
  <c r="D11" i="21"/>
  <c r="D14" i="21"/>
  <c r="C71" i="33"/>
  <c r="D42" i="33"/>
  <c r="C57" i="33"/>
  <c r="B25" i="20"/>
  <c r="C62" i="33"/>
  <c r="F51" i="33"/>
  <c r="D51" i="33" s="1"/>
  <c r="C51" i="33" s="1"/>
  <c r="C45" i="33" s="1"/>
  <c r="C50" i="33"/>
  <c r="C53" i="33"/>
  <c r="C35" i="33"/>
  <c r="C45" i="4"/>
  <c r="D10" i="20"/>
  <c r="C10" i="20" s="1"/>
  <c r="D11" i="20"/>
  <c r="C11" i="20" s="1"/>
  <c r="D13" i="20"/>
  <c r="C13" i="20" s="1"/>
  <c r="D14" i="20"/>
  <c r="C14" i="20" s="1"/>
  <c r="C27" i="4"/>
  <c r="H4" i="20"/>
  <c r="I4" i="20" s="1"/>
  <c r="J4" i="20" s="1"/>
  <c r="K4" i="20" s="1"/>
  <c r="L4" i="20" s="1"/>
  <c r="M4" i="20" s="1"/>
  <c r="N4" i="20" s="1"/>
  <c r="O4" i="20" s="1"/>
  <c r="P4" i="20" s="1"/>
  <c r="Q4" i="20" s="1"/>
  <c r="R4" i="20" s="1"/>
  <c r="D27" i="5"/>
  <c r="D35" i="5"/>
  <c r="C25" i="5"/>
  <c r="B25" i="7"/>
  <c r="D45" i="5"/>
  <c r="C24" i="33"/>
  <c r="C20" i="33" s="1"/>
  <c r="D12" i="33"/>
  <c r="C12" i="33" s="1"/>
  <c r="D34" i="33"/>
  <c r="C34" i="33"/>
  <c r="D11" i="33"/>
  <c r="C11" i="33" s="1"/>
  <c r="D26" i="33"/>
  <c r="D32" i="33"/>
  <c r="E11" i="5"/>
  <c r="E9" i="5"/>
  <c r="E10" i="5"/>
  <c r="E12" i="5"/>
  <c r="D78" i="33"/>
  <c r="C78" i="33" s="1"/>
  <c r="D77" i="33"/>
  <c r="C77" i="33" s="1"/>
  <c r="D29" i="33"/>
  <c r="C45" i="21"/>
  <c r="D33" i="33"/>
  <c r="D13" i="33"/>
  <c r="C13" i="33" s="1"/>
  <c r="D22" i="33"/>
  <c r="C32" i="33"/>
  <c r="D23" i="33"/>
  <c r="D31" i="33"/>
  <c r="C25" i="33"/>
  <c r="C20" i="26"/>
  <c r="C76" i="26"/>
  <c r="C27" i="26"/>
  <c r="D17" i="33"/>
  <c r="C17" i="33" s="1"/>
  <c r="C45" i="26"/>
  <c r="C7" i="26"/>
  <c r="D9" i="33"/>
  <c r="C9" i="33" s="1"/>
  <c r="D10" i="33"/>
  <c r="C10" i="33" s="1"/>
  <c r="D19" i="33"/>
  <c r="C19" i="33" s="1"/>
  <c r="D21" i="33"/>
  <c r="F30" i="33"/>
  <c r="D30" i="33" s="1"/>
  <c r="D16" i="33"/>
  <c r="C16" i="33" s="1"/>
  <c r="D15" i="33"/>
  <c r="C15" i="33" s="1"/>
  <c r="D18" i="33"/>
  <c r="C18" i="33" s="1"/>
  <c r="D28" i="33"/>
  <c r="B29" i="7"/>
  <c r="H3" i="33"/>
  <c r="F3" i="33" s="1"/>
  <c r="N7" i="33"/>
  <c r="M7" i="33"/>
  <c r="F80" i="33"/>
  <c r="D80" i="33" s="1"/>
  <c r="C80" i="33" s="1"/>
  <c r="F14" i="33"/>
  <c r="D14" i="33" s="1"/>
  <c r="C14" i="33" s="1"/>
  <c r="I7" i="33"/>
  <c r="F8" i="33"/>
  <c r="D8" i="33" s="1"/>
  <c r="C8" i="33" s="1"/>
  <c r="L7" i="33"/>
  <c r="D79" i="33"/>
  <c r="C79" i="33" s="1"/>
  <c r="D38" i="26"/>
  <c r="C38" i="26" s="1"/>
  <c r="D39" i="26"/>
  <c r="C39" i="26" s="1"/>
  <c r="C27" i="32"/>
  <c r="C48" i="32"/>
  <c r="G17" i="5"/>
  <c r="F3" i="20"/>
  <c r="C3" i="20" s="1"/>
  <c r="C45" i="20"/>
  <c r="C67" i="20"/>
  <c r="C5" i="20" s="1"/>
  <c r="I4" i="32"/>
  <c r="J4" i="32" s="1"/>
  <c r="K4" i="32" s="1"/>
  <c r="L4" i="32" s="1"/>
  <c r="M4" i="32" s="1"/>
  <c r="N4" i="32" s="1"/>
  <c r="O4" i="32" s="1"/>
  <c r="P4" i="32" s="1"/>
  <c r="Q4" i="32" s="1"/>
  <c r="R4" i="32" s="1"/>
  <c r="C7" i="32"/>
  <c r="K5" i="3"/>
  <c r="G3" i="5"/>
  <c r="D3" i="5" s="1"/>
  <c r="J4" i="21"/>
  <c r="K4" i="21" s="1"/>
  <c r="L4" i="21" s="1"/>
  <c r="M4" i="21" s="1"/>
  <c r="N4" i="21" s="1"/>
  <c r="O4" i="21" s="1"/>
  <c r="P4" i="21" s="1"/>
  <c r="Q4" i="21" s="1"/>
  <c r="R4" i="21" s="1"/>
  <c r="I5" i="14"/>
  <c r="E5" i="14" s="1"/>
  <c r="E25" i="14"/>
  <c r="I4" i="5"/>
  <c r="J4" i="5" s="1"/>
  <c r="K4" i="5" s="1"/>
  <c r="L4" i="5" s="1"/>
  <c r="M4" i="5" s="1"/>
  <c r="N4" i="5" s="1"/>
  <c r="O4" i="5" s="1"/>
  <c r="P4" i="5" s="1"/>
  <c r="Q4" i="5" s="1"/>
  <c r="R4" i="5" s="1"/>
  <c r="S4" i="5" s="1"/>
  <c r="D76" i="5"/>
  <c r="G8" i="5"/>
  <c r="E8" i="5" s="1"/>
  <c r="N7" i="5"/>
  <c r="C54" i="21"/>
  <c r="F21" i="17"/>
  <c r="E13" i="17"/>
  <c r="E8" i="12"/>
  <c r="E9" i="12"/>
  <c r="E10" i="12"/>
  <c r="E11" i="12"/>
  <c r="E12" i="12"/>
  <c r="J25" i="12"/>
  <c r="E25" i="12" s="1"/>
  <c r="E14" i="12"/>
  <c r="Q15" i="12"/>
  <c r="E15" i="12" s="1"/>
  <c r="N19" i="12"/>
  <c r="N5" i="12" s="1"/>
  <c r="M19" i="12"/>
  <c r="M5" i="12" s="1"/>
  <c r="L19" i="12"/>
  <c r="K19" i="12"/>
  <c r="K5" i="12" s="1"/>
  <c r="J26" i="12"/>
  <c r="I23" i="12"/>
  <c r="I24" i="12"/>
  <c r="I22" i="12"/>
  <c r="I19" i="12"/>
  <c r="H26" i="12"/>
  <c r="F19" i="12"/>
  <c r="F5" i="12" s="1"/>
  <c r="G5" i="12"/>
  <c r="H5" i="12"/>
  <c r="L5" i="12"/>
  <c r="O5" i="12"/>
  <c r="P5" i="12"/>
  <c r="Q5" i="12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4" i="10"/>
  <c r="H13" i="10"/>
  <c r="H12" i="10"/>
  <c r="H11" i="10"/>
  <c r="H10" i="10"/>
  <c r="H9" i="10"/>
  <c r="H8" i="10"/>
  <c r="H7" i="10"/>
  <c r="H6" i="10"/>
  <c r="T5" i="10"/>
  <c r="S5" i="10"/>
  <c r="R5" i="10"/>
  <c r="Q5" i="10"/>
  <c r="P5" i="10"/>
  <c r="O5" i="10"/>
  <c r="N5" i="10"/>
  <c r="M5" i="10"/>
  <c r="L5" i="10"/>
  <c r="K5" i="10"/>
  <c r="J5" i="10"/>
  <c r="I5" i="10"/>
  <c r="H3" i="10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 s="1"/>
  <c r="H3" i="15"/>
  <c r="B1" i="17"/>
  <c r="G1" i="17" s="1"/>
  <c r="F41" i="17"/>
  <c r="F42" i="17"/>
  <c r="E42" i="17" s="1"/>
  <c r="F43" i="17"/>
  <c r="E43" i="17" s="1"/>
  <c r="E21" i="17"/>
  <c r="F48" i="17"/>
  <c r="F49" i="17"/>
  <c r="F50" i="17"/>
  <c r="F51" i="17"/>
  <c r="F52" i="17"/>
  <c r="E52" i="17" s="1"/>
  <c r="H5" i="17"/>
  <c r="I5" i="17"/>
  <c r="J5" i="17"/>
  <c r="K5" i="17"/>
  <c r="L5" i="17"/>
  <c r="M5" i="17"/>
  <c r="N5" i="17"/>
  <c r="O5" i="17"/>
  <c r="P5" i="17"/>
  <c r="Q5" i="17"/>
  <c r="R5" i="17"/>
  <c r="G5" i="17"/>
  <c r="F22" i="17"/>
  <c r="F27" i="17" s="1"/>
  <c r="E27" i="17" s="1"/>
  <c r="C7" i="20" l="1"/>
  <c r="C7" i="21"/>
  <c r="C5" i="21" s="1"/>
  <c r="C6" i="21" s="1"/>
  <c r="G12" i="3" s="1"/>
  <c r="C7" i="33"/>
  <c r="C76" i="33"/>
  <c r="C35" i="26"/>
  <c r="C6" i="26" s="1"/>
  <c r="M12" i="3" s="1"/>
  <c r="C30" i="33"/>
  <c r="C27" i="33" s="1"/>
  <c r="C5" i="33" s="1"/>
  <c r="D5" i="33"/>
  <c r="H1" i="5"/>
  <c r="J5" i="3"/>
  <c r="B1" i="19"/>
  <c r="G1" i="19" s="1"/>
  <c r="E5" i="17"/>
  <c r="D5" i="17" s="1"/>
  <c r="C5" i="17"/>
  <c r="J5" i="12"/>
  <c r="I5" i="12"/>
  <c r="H5" i="10"/>
  <c r="F5" i="17"/>
  <c r="F13" i="7"/>
  <c r="D13" i="7" s="1"/>
  <c r="F13" i="4"/>
  <c r="F46" i="17"/>
  <c r="F45" i="17"/>
  <c r="F44" i="17"/>
  <c r="F40" i="17"/>
  <c r="F39" i="17"/>
  <c r="F38" i="17"/>
  <c r="F37" i="17"/>
  <c r="F36" i="17"/>
  <c r="F47" i="17"/>
  <c r="F3" i="17"/>
  <c r="C3" i="17" s="1"/>
  <c r="F29" i="13"/>
  <c r="F28" i="13"/>
  <c r="F24" i="13"/>
  <c r="F23" i="13"/>
  <c r="F22" i="13"/>
  <c r="F21" i="13"/>
  <c r="F20" i="13"/>
  <c r="F19" i="13"/>
  <c r="F18" i="13"/>
  <c r="F17" i="13"/>
  <c r="F15" i="13"/>
  <c r="F13" i="13"/>
  <c r="F12" i="13"/>
  <c r="F11" i="13"/>
  <c r="F10" i="13"/>
  <c r="F9" i="13"/>
  <c r="F8" i="13"/>
  <c r="F7" i="13"/>
  <c r="F5" i="13"/>
  <c r="G4" i="13"/>
  <c r="F3" i="13"/>
  <c r="E29" i="12"/>
  <c r="E28" i="12"/>
  <c r="E24" i="12"/>
  <c r="E23" i="12"/>
  <c r="E22" i="12"/>
  <c r="E21" i="12"/>
  <c r="E20" i="12"/>
  <c r="E19" i="12"/>
  <c r="E18" i="12"/>
  <c r="E17" i="12"/>
  <c r="E13" i="12"/>
  <c r="E7" i="12"/>
  <c r="F4" i="12"/>
  <c r="G5" i="9"/>
  <c r="H5" i="9"/>
  <c r="I5" i="9"/>
  <c r="J5" i="9"/>
  <c r="K5" i="9"/>
  <c r="L5" i="9"/>
  <c r="M5" i="9"/>
  <c r="N5" i="9"/>
  <c r="O5" i="9"/>
  <c r="P5" i="9"/>
  <c r="Q5" i="9"/>
  <c r="F5" i="9"/>
  <c r="E5" i="9"/>
  <c r="E30" i="9" s="1"/>
  <c r="E7" i="9"/>
  <c r="E8" i="9"/>
  <c r="E9" i="9"/>
  <c r="E10" i="9"/>
  <c r="E11" i="9"/>
  <c r="G3" i="9"/>
  <c r="H3" i="9"/>
  <c r="I3" i="9"/>
  <c r="J3" i="9"/>
  <c r="K3" i="9"/>
  <c r="L3" i="9"/>
  <c r="M3" i="9"/>
  <c r="N3" i="9"/>
  <c r="O3" i="9"/>
  <c r="P3" i="9"/>
  <c r="Q3" i="9"/>
  <c r="F3" i="9"/>
  <c r="E27" i="9"/>
  <c r="E22" i="9"/>
  <c r="E21" i="9"/>
  <c r="E17" i="9"/>
  <c r="E20" i="9"/>
  <c r="E19" i="9"/>
  <c r="E16" i="9"/>
  <c r="E15" i="9"/>
  <c r="E14" i="9"/>
  <c r="E13" i="9"/>
  <c r="E6" i="9"/>
  <c r="F60" i="4"/>
  <c r="F80" i="4"/>
  <c r="F79" i="4"/>
  <c r="F78" i="4"/>
  <c r="F77" i="4"/>
  <c r="F34" i="4"/>
  <c r="F32" i="4"/>
  <c r="F31" i="4"/>
  <c r="F30" i="4"/>
  <c r="F29" i="4"/>
  <c r="F28" i="4"/>
  <c r="F22" i="4"/>
  <c r="F12" i="4"/>
  <c r="F11" i="4"/>
  <c r="F10" i="4"/>
  <c r="F9" i="4"/>
  <c r="F8" i="4"/>
  <c r="F5" i="4"/>
  <c r="F3" i="4"/>
  <c r="C3" i="4" s="1"/>
  <c r="C6" i="4" s="1"/>
  <c r="J12" i="3" s="1"/>
  <c r="H44" i="3"/>
  <c r="F44" i="7"/>
  <c r="D44" i="7" s="1"/>
  <c r="Q22" i="7"/>
  <c r="F22" i="7" s="1"/>
  <c r="Q43" i="7"/>
  <c r="F37" i="7"/>
  <c r="D37" i="7" s="1"/>
  <c r="L56" i="7"/>
  <c r="L43" i="7"/>
  <c r="K57" i="7"/>
  <c r="J42" i="7"/>
  <c r="F42" i="7" s="1"/>
  <c r="D42" i="7" s="1"/>
  <c r="J56" i="7"/>
  <c r="J32" i="7"/>
  <c r="F32" i="7" s="1"/>
  <c r="I43" i="7"/>
  <c r="I56" i="7"/>
  <c r="G36" i="7"/>
  <c r="F38" i="7"/>
  <c r="D38" i="7" s="1"/>
  <c r="F39" i="7"/>
  <c r="D39" i="7" s="1"/>
  <c r="F41" i="7"/>
  <c r="D41" i="7" s="1"/>
  <c r="F63" i="7"/>
  <c r="F49" i="7"/>
  <c r="F50" i="7"/>
  <c r="F51" i="7"/>
  <c r="F52" i="7"/>
  <c r="F53" i="7"/>
  <c r="F54" i="7"/>
  <c r="F55" i="7"/>
  <c r="F61" i="7"/>
  <c r="F8" i="7"/>
  <c r="D8" i="7" s="1"/>
  <c r="F9" i="7"/>
  <c r="D9" i="7" s="1"/>
  <c r="F10" i="7"/>
  <c r="D10" i="7" s="1"/>
  <c r="F11" i="7"/>
  <c r="D11" i="7" s="1"/>
  <c r="F12" i="7"/>
  <c r="D12" i="7" s="1"/>
  <c r="F21" i="7"/>
  <c r="F14" i="7"/>
  <c r="D14" i="7" s="1"/>
  <c r="F28" i="7"/>
  <c r="F29" i="7"/>
  <c r="F30" i="7"/>
  <c r="F31" i="7"/>
  <c r="F24" i="7"/>
  <c r="F25" i="7"/>
  <c r="D4" i="1"/>
  <c r="D30" i="1"/>
  <c r="D9" i="1"/>
  <c r="D43" i="1"/>
  <c r="D44" i="1"/>
  <c r="D32" i="1"/>
  <c r="D12" i="1"/>
  <c r="D21" i="1"/>
  <c r="D31" i="1"/>
  <c r="D7" i="1"/>
  <c r="D19" i="1"/>
  <c r="D11" i="1"/>
  <c r="M41" i="3"/>
  <c r="D23" i="1"/>
  <c r="C6" i="20" l="1"/>
  <c r="H12" i="3" s="1"/>
  <c r="C3" i="33"/>
  <c r="L12" i="3" s="1"/>
  <c r="G1" i="4"/>
  <c r="I5" i="3"/>
  <c r="B1" i="13"/>
  <c r="D1" i="15"/>
  <c r="E14" i="5"/>
  <c r="F43" i="7"/>
  <c r="D43" i="7" s="1"/>
  <c r="F56" i="7"/>
  <c r="F36" i="7"/>
  <c r="D36" i="7" s="1"/>
  <c r="F57" i="7"/>
  <c r="E5" i="12"/>
  <c r="E3" i="12"/>
  <c r="M11" i="3"/>
  <c r="C6" i="33" l="1"/>
  <c r="G1" i="7"/>
  <c r="A1" i="7"/>
  <c r="I1" i="15"/>
  <c r="D21" i="15"/>
  <c r="B28" i="13"/>
  <c r="G1" i="13"/>
  <c r="H5" i="3"/>
  <c r="B1" i="9"/>
  <c r="F1" i="9" s="1"/>
  <c r="D1" i="10"/>
  <c r="E13" i="5"/>
  <c r="D6" i="5" s="1"/>
  <c r="K12" i="3" s="1"/>
  <c r="G1" i="20" l="1"/>
  <c r="B1" i="20"/>
  <c r="B60" i="20" s="1"/>
  <c r="D21" i="10"/>
  <c r="I1" i="10"/>
  <c r="G5" i="3"/>
  <c r="B1" i="21" s="1"/>
  <c r="C1" i="23"/>
  <c r="G1" i="23" s="1"/>
  <c r="D1" i="22"/>
  <c r="G1" i="21" l="1"/>
  <c r="C1" i="31"/>
  <c r="G1" i="31" s="1"/>
  <c r="D21" i="22"/>
  <c r="I1" i="22"/>
  <c r="F5" i="3"/>
  <c r="C1" i="30"/>
  <c r="G1" i="30" s="1"/>
  <c r="D1" i="29"/>
  <c r="G1" i="32" l="1"/>
  <c r="B1" i="32"/>
  <c r="D21" i="29"/>
  <c r="I1" i="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Jish Nath</author>
  </authors>
  <commentList>
    <comment ref="E6" authorId="0" shapeId="0" xr:uid="{B3986654-8E18-47D1-9C07-3107188A305B}">
      <text>
        <r>
          <rPr>
            <sz val="11"/>
            <color theme="1"/>
            <rFont val="Calibri"/>
            <family val="2"/>
            <scheme val="minor"/>
          </rPr>
          <t>Jish Nath:
Deepika Nath ONLY.  
Jish has no W2</t>
        </r>
      </text>
    </comment>
    <comment ref="E25" authorId="0" shapeId="0" xr:uid="{A2A24DA9-E3DD-4ACA-BC29-024D69048A64}">
      <text>
        <r>
          <rPr>
            <sz val="11"/>
            <color theme="1"/>
            <rFont val="Calibri"/>
            <family val="2"/>
            <scheme val="minor"/>
          </rPr>
          <t>Jish Nath:
Edward Jones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Jish Nath</author>
    <author>Owner</author>
  </authors>
  <commentList>
    <comment ref="G3" authorId="0" shapeId="0" xr:uid="{655ECCD9-A2E9-49EE-A47A-C54A2D03C38A}">
      <text>
        <r>
          <rPr>
            <b/>
            <sz val="9"/>
            <color indexed="81"/>
            <rFont val="Tahoma"/>
            <family val="2"/>
          </rPr>
          <t>Jish Nath:</t>
        </r>
        <r>
          <rPr>
            <sz val="9"/>
            <color indexed="81"/>
            <rFont val="Tahoma"/>
            <family val="2"/>
          </rPr>
          <t xml:space="preserve">
Q1 24 REPORT FILED WITH WA DOR
</t>
        </r>
      </text>
    </comment>
    <comment ref="I3" authorId="0" shapeId="0" xr:uid="{06DAAD1B-6AC3-44FE-B89C-A0E23E2907AB}">
      <text>
        <r>
          <rPr>
            <b/>
            <sz val="9"/>
            <color indexed="81"/>
            <rFont val="Tahoma"/>
            <family val="2"/>
          </rPr>
          <t>Jish Nath:</t>
        </r>
        <r>
          <rPr>
            <sz val="9"/>
            <color indexed="81"/>
            <rFont val="Tahoma"/>
            <family val="2"/>
          </rPr>
          <t xml:space="preserve">
q1 24 filed with wa dor on 8/24/24
</t>
        </r>
      </text>
    </comment>
    <comment ref="J3" authorId="0" shapeId="0" xr:uid="{92DD9B7D-7171-406E-A237-78354CEA523A}">
      <text>
        <r>
          <rPr>
            <b/>
            <sz val="9"/>
            <color indexed="81"/>
            <rFont val="Tahoma"/>
            <family val="2"/>
          </rPr>
          <t>Jish Nath: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" authorId="0" shapeId="0" xr:uid="{965F07A2-1461-49AA-A107-C0AE7D99F648}">
      <text>
        <r>
          <rPr>
            <b/>
            <sz val="9"/>
            <color indexed="81"/>
            <rFont val="Tahoma"/>
            <family val="2"/>
          </rPr>
          <t>Jish Nath:</t>
        </r>
        <r>
          <rPr>
            <sz val="9"/>
            <color indexed="81"/>
            <rFont val="Tahoma"/>
            <family val="2"/>
          </rPr>
          <t xml:space="preserve">
q2 24 dor report filed on 8/23</t>
        </r>
      </text>
    </comment>
    <comment ref="O3" authorId="0" shapeId="0" xr:uid="{0986E775-23A9-4654-A15D-96C53DA800DC}">
      <text>
        <r>
          <rPr>
            <b/>
            <sz val="9"/>
            <color indexed="81"/>
            <rFont val="Tahoma"/>
            <family val="2"/>
          </rPr>
          <t>Jish Nath:</t>
        </r>
        <r>
          <rPr>
            <sz val="9"/>
            <color indexed="81"/>
            <rFont val="Tahoma"/>
            <family val="2"/>
          </rPr>
          <t xml:space="preserve">
9/19 wallero</t>
        </r>
      </text>
    </comment>
    <comment ref="P3" authorId="0" shapeId="0" xr:uid="{E813FA0B-622C-4A7E-9CE9-45095CAF06DE}">
      <text>
        <r>
          <rPr>
            <b/>
            <sz val="9"/>
            <color indexed="81"/>
            <rFont val="Tahoma"/>
            <family val="2"/>
          </rPr>
          <t>Jish Nath:</t>
        </r>
        <r>
          <rPr>
            <sz val="9"/>
            <color indexed="81"/>
            <rFont val="Tahoma"/>
            <family val="2"/>
          </rPr>
          <t xml:space="preserve">
10/9 wallero</t>
        </r>
      </text>
    </comment>
    <comment ref="E7" authorId="1" shapeId="0" xr:uid="{40792B82-607F-4A77-8C68-E3353F0EA7AA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B8" authorId="1" shapeId="0" xr:uid="{7208412A-AFA7-48E4-B311-76B1294FFD69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PSE:  1-888-225-5773</t>
        </r>
      </text>
    </comment>
    <comment ref="B9" authorId="1" shapeId="0" xr:uid="{B928AA0F-4FE9-4536-B6BC-AEFE1B4EF5EA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republic services
1-206-682-9735
</t>
        </r>
      </text>
    </comment>
    <comment ref="B11" authorId="1" shapeId="0" xr:uid="{FF18E0B4-CFBC-4FAE-B6E3-E67F85933B48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ADT</t>
        </r>
      </text>
    </comment>
    <comment ref="B12" authorId="1" shapeId="0" xr:uid="{B48BDB81-2498-4F6A-B6C2-C255B767150D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Xavier Landscaping</t>
        </r>
      </text>
    </comment>
    <comment ref="H25" authorId="0" shapeId="0" xr:uid="{37B56439-9471-45EC-8968-1D69EA605301}">
      <text>
        <r>
          <rPr>
            <b/>
            <sz val="9"/>
            <color indexed="81"/>
            <rFont val="Tahoma"/>
            <family val="2"/>
          </rPr>
          <t>Jish Nath:</t>
        </r>
        <r>
          <rPr>
            <sz val="9"/>
            <color indexed="81"/>
            <rFont val="Tahoma"/>
            <family val="2"/>
          </rPr>
          <t xml:space="preserve">
mini display adapter-2</t>
        </r>
      </text>
    </comment>
    <comment ref="E27" authorId="1" shapeId="0" xr:uid="{32CCC733-8AFD-4EE8-BB86-B9A58E37E9EE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B28" authorId="1" shapeId="0" xr:uid="{726E7671-6480-4290-B05F-B5D26AA0EF33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37" authorId="0" shapeId="0" xr:uid="{0F5BBC0C-F149-45C6-AE88-6E7238C02D75}">
      <text>
        <r>
          <rPr>
            <sz val="11"/>
            <color theme="1"/>
            <rFont val="Calibri"/>
            <family val="2"/>
            <scheme val="minor"/>
          </rPr>
          <t xml:space="preserve">Jish Nath:
Accounting for 14-15
</t>
        </r>
      </text>
    </comment>
    <comment ref="J46" authorId="0" shapeId="0" xr:uid="{F7DAA24C-0FDD-4466-8201-7A53186913EB}">
      <text>
        <r>
          <rPr>
            <sz val="11"/>
            <color theme="1"/>
            <rFont val="Calibri"/>
            <family val="2"/>
            <scheme val="minor"/>
          </rPr>
          <t xml:space="preserve">Jish Nath:
IRS parking
plus 7.84 parking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Jish Nath</author>
    <author>Owner</author>
  </authors>
  <commentList>
    <comment ref="Q3" authorId="0" shapeId="0" xr:uid="{71BF9162-7A8C-4C1F-8312-89265BEBC334}">
      <text>
        <r>
          <rPr>
            <b/>
            <sz val="9"/>
            <color indexed="81"/>
            <rFont val="Tahoma"/>
            <family val="2"/>
          </rPr>
          <t>Jish Nath:</t>
        </r>
        <r>
          <rPr>
            <sz val="9"/>
            <color indexed="81"/>
            <rFont val="Tahoma"/>
            <family val="2"/>
          </rPr>
          <t xml:space="preserve">
Nov 28</t>
        </r>
      </text>
    </comment>
    <comment ref="E7" authorId="1" shapeId="0" xr:uid="{5C873A12-D1FF-411A-AF1C-7DC3E6AAC0A5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B8" authorId="1" shapeId="0" xr:uid="{76E53BA1-86FA-4936-9101-853785B2E492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PSE:  1-888-225-5773</t>
        </r>
      </text>
    </comment>
    <comment ref="B9" authorId="1" shapeId="0" xr:uid="{9217090E-CA3A-49F2-859A-0901910E5C73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republic services
1-206-682-9735
</t>
        </r>
      </text>
    </comment>
    <comment ref="B11" authorId="1" shapeId="0" xr:uid="{A6BDD9E0-27A8-4AEE-AE03-9D087EBCD8F9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ADT</t>
        </r>
      </text>
    </comment>
    <comment ref="B12" authorId="1" shapeId="0" xr:uid="{DD619C25-8E4D-491F-813A-66DC8374B651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Xavier Landscaping</t>
        </r>
      </text>
    </comment>
    <comment ref="H33" authorId="0" shapeId="0" xr:uid="{E39CAE8D-7F23-4FF8-BA87-B82E22305DB0}">
      <text>
        <r>
          <rPr>
            <b/>
            <sz val="9"/>
            <color indexed="81"/>
            <rFont val="Tahoma"/>
            <family val="2"/>
          </rPr>
          <t>Jish Nath:</t>
        </r>
        <r>
          <rPr>
            <sz val="9"/>
            <color indexed="81"/>
            <rFont val="Tahoma"/>
            <family val="2"/>
          </rPr>
          <t xml:space="preserve">
mini display adapter-2</t>
        </r>
      </text>
    </comment>
    <comment ref="Q43" authorId="0" shapeId="0" xr:uid="{6C414CAE-F54C-4B81-B9BB-B70EEB6AFFA0}">
      <text>
        <r>
          <rPr>
            <sz val="11"/>
            <color theme="1"/>
            <rFont val="Calibri"/>
            <family val="2"/>
            <scheme val="minor"/>
          </rPr>
          <t xml:space="preserve">Jish Nath:
Accounting for 14-15
</t>
        </r>
      </text>
    </comment>
    <comment ref="J52" authorId="0" shapeId="0" xr:uid="{7BE52D71-116D-494C-9EDC-97D96544015B}">
      <text>
        <r>
          <rPr>
            <sz val="11"/>
            <color theme="1"/>
            <rFont val="Calibri"/>
            <family val="2"/>
            <scheme val="minor"/>
          </rPr>
          <t xml:space="preserve">Jish Nath:
IRS parking
plus 7.84 parking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Owner</author>
    <author>Jish Nath</author>
  </authors>
  <commentList>
    <comment ref="E7" authorId="0" shapeId="0" xr:uid="{68DEE9C5-5A8F-4518-B517-D776E201CF83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B8" authorId="0" shapeId="0" xr:uid="{25807005-4DFF-48E0-BA62-AA66F364AF6B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PSE:  1-888-225-5773</t>
        </r>
      </text>
    </comment>
    <comment ref="B9" authorId="0" shapeId="0" xr:uid="{3D5FFC1F-C08C-4FBD-929B-6185540F969D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republic services
1-206-682-9735
</t>
        </r>
      </text>
    </comment>
    <comment ref="B11" authorId="0" shapeId="0" xr:uid="{2E234570-1A0F-4B32-978B-0E81DB1CBEDB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ADT</t>
        </r>
      </text>
    </comment>
    <comment ref="B12" authorId="0" shapeId="0" xr:uid="{6BD7653F-0E69-4AB0-BA67-F09D7DD99988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Xavier Landscaping</t>
        </r>
      </text>
    </comment>
    <comment ref="E20" authorId="0" shapeId="0" xr:uid="{0A1644CC-6045-4619-9645-B80A7404428A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E27" authorId="0" shapeId="0" xr:uid="{BA3382DB-6739-4B11-AB0B-D98D1884DB72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E35" authorId="0" shapeId="0" xr:uid="{279A8117-C5E2-4D74-B51E-F20F536E1B46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B38" authorId="0" shapeId="0" xr:uid="{9806A538-7831-4566-8F76-B95283CE4E58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5" authorId="0" shapeId="0" xr:uid="{4F31BFD5-557D-4F03-9939-2B324B462C38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Q46" authorId="1" shapeId="0" xr:uid="{E1634020-D47B-4482-BB01-AAC15CB5A678}">
      <text>
        <r>
          <rPr>
            <sz val="11"/>
            <color theme="1"/>
            <rFont val="Calibri"/>
            <family val="2"/>
            <scheme val="minor"/>
          </rPr>
          <t xml:space="preserve">Jish Nath:
Accounting for 14-15
</t>
        </r>
      </text>
    </comment>
    <comment ref="E59" authorId="0" shapeId="0" xr:uid="{C5E667F5-51F9-4422-B8E6-FCB24F30AFED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E62" authorId="0" shapeId="0" xr:uid="{2D259DBC-F5C2-403C-BD11-EC21E6A75ED2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E67" authorId="0" shapeId="0" xr:uid="{E412DD04-2060-46AB-B8F9-02190F17A3CF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E71" authorId="0" shapeId="0" xr:uid="{2436E975-24A3-4E4B-B226-2AD3A3933B9C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E76" authorId="0" shapeId="0" xr:uid="{80B328CB-4958-43F2-8A2E-87A0433E04A9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Jish Nath</author>
    <author>Owner</author>
    <author>tc={14F14962-BC69-41DF-9522-7C77383F21E2}</author>
  </authors>
  <commentList>
    <comment ref="Q3" authorId="0" shapeId="0" xr:uid="{E63C3158-191D-44E7-9CD2-8B97F0C9EDDA}">
      <text>
        <r>
          <rPr>
            <sz val="11"/>
            <color theme="1"/>
            <rFont val="Calibri"/>
            <family val="2"/>
            <scheme val="minor"/>
          </rPr>
          <t>Jish Nath:
Seattle Colleges</t>
        </r>
      </text>
    </comment>
    <comment ref="R3" authorId="0" shapeId="0" xr:uid="{A130D1BD-0837-4E50-B96A-A9ED8A2831D2}">
      <text>
        <r>
          <rPr>
            <sz val="11"/>
            <color theme="1"/>
            <rFont val="Calibri"/>
            <family val="2"/>
            <scheme val="minor"/>
          </rPr>
          <t>Jish Nath:
Nityo</t>
        </r>
      </text>
    </comment>
    <comment ref="E7" authorId="1" shapeId="0" xr:uid="{8BA9E137-F725-41BE-8678-B070E375B16B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B9" authorId="2" shapeId="0" xr:uid="{14F14962-BC69-41DF-9522-7C77383F21E2}">
      <text>
        <t>[Threaded comment]
Your version of Excel allows you to read this threaded comment; however, any edits to it will get removed if the file is opened in a newer version of Excel. Learn more: https://go.microsoft.com/fwlink/?linkid=870924
Comment:
    solid, recycle, yard</t>
      </text>
    </comment>
    <comment ref="E27" authorId="1" shapeId="0" xr:uid="{50A2C854-4737-4EA6-9539-E5C125A129C4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G36" authorId="0" shapeId="0" xr:uid="{77967958-6944-4379-97DA-614B05D6AB2D}">
      <text>
        <r>
          <rPr>
            <sz val="11"/>
            <color theme="1"/>
            <rFont val="Calibri"/>
            <family val="2"/>
            <scheme val="minor"/>
          </rPr>
          <t>Jish Nath:
GOOGLE DOMAINS</t>
        </r>
      </text>
    </comment>
    <comment ref="B44" authorId="0" shapeId="0" xr:uid="{DE4547B1-2ECD-4393-8F83-2666090D166A}">
      <text>
        <r>
          <rPr>
            <sz val="11"/>
            <color theme="1"/>
            <rFont val="Calibri"/>
            <family val="2"/>
            <scheme val="minor"/>
          </rPr>
          <t>Jish Nath:
NEXT</t>
        </r>
      </text>
    </comment>
    <comment ref="E62" authorId="1" shapeId="0" xr:uid="{7F82FB8E-04B6-4CA3-9004-0AD452E92A17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Jish Nath</author>
    <author>Owner</author>
  </authors>
  <commentList>
    <comment ref="Q3" authorId="0" shapeId="0" xr:uid="{25FF9A0F-A2ED-4795-9886-9186027AB9B9}">
      <text>
        <r>
          <rPr>
            <sz val="11"/>
            <color theme="1"/>
            <rFont val="Calibri"/>
            <family val="2"/>
            <scheme val="minor"/>
          </rPr>
          <t>Jish Nath:
Seattle Colleges</t>
        </r>
      </text>
    </comment>
    <comment ref="R3" authorId="0" shapeId="0" xr:uid="{88203A51-161B-475A-8CB2-88860DAFA276}">
      <text>
        <r>
          <rPr>
            <sz val="11"/>
            <color theme="1"/>
            <rFont val="Calibri"/>
            <family val="2"/>
            <scheme val="minor"/>
          </rPr>
          <t>Jish Nath:
Nityo</t>
        </r>
      </text>
    </comment>
    <comment ref="E7" authorId="1" shapeId="0" xr:uid="{CAB04605-39BE-48DF-88FD-E79E3F51FD1C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E20" authorId="1" shapeId="0" xr:uid="{534DA962-732E-4D58-866A-0AE777940FEA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E27" authorId="1" shapeId="0" xr:uid="{9BD9D50A-9CEA-4DA0-A320-6FF75A5AD9C1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E35" authorId="1" shapeId="0" xr:uid="{4F13DC1D-CC55-4F49-BF80-A7C09F4264B8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E45" authorId="1" shapeId="0" xr:uid="{E3EBBAB6-A9F2-434C-A5E6-7AE99D5C6FDE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E59" authorId="1" shapeId="0" xr:uid="{C7FD6F3D-6362-48F9-B2E9-A309A145129D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E62" authorId="1" shapeId="0" xr:uid="{41D5CD1C-E422-4F87-AC63-384A3B385503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E67" authorId="1" shapeId="0" xr:uid="{8CA8D721-F371-4C5A-ABA4-40D8F11126E9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E71" authorId="1" shapeId="0" xr:uid="{9B0E8D8B-AF88-4B30-A476-388D66247EC8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E76" authorId="1" shapeId="0" xr:uid="{99817BD0-732D-4905-947B-09348B1F4747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Owner</author>
    <author>Jish Nath</author>
  </authors>
  <commentList>
    <comment ref="F7" authorId="0" shapeId="0" xr:uid="{B2848294-64FD-4EBB-A1E5-9A3F0E69593A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C8" authorId="0" shapeId="0" xr:uid="{885ECE65-82CA-498D-B424-F15530AAE5E0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PSE:  1-888-225-5773</t>
        </r>
      </text>
    </comment>
    <comment ref="C9" authorId="0" shapeId="0" xr:uid="{0A37570A-DA3C-4BC9-8DFD-FAF7FE065B15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republic services
1-206-682-9735
</t>
        </r>
      </text>
    </comment>
    <comment ref="C10" authorId="1" shapeId="0" xr:uid="{57F2228B-0F43-41DB-A4CD-CAB4D6630245}">
      <text>
        <r>
          <rPr>
            <sz val="11"/>
            <color theme="1"/>
            <rFont val="Calibri"/>
            <family val="2"/>
            <scheme val="minor"/>
          </rPr>
          <t>Jish Nath:
https://myutilitybill.bellevuewa.gov/Home.aspx</t>
        </r>
      </text>
    </comment>
    <comment ref="C11" authorId="0" shapeId="0" xr:uid="{5F325094-FEE7-466C-8C72-CBC6FE0627AD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ADT</t>
        </r>
      </text>
    </comment>
    <comment ref="C12" authorId="0" shapeId="0" xr:uid="{6F2625E0-9BBD-4387-B93D-C4D53FF87A82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Xavier Landscaping</t>
        </r>
      </text>
    </comment>
    <comment ref="F20" authorId="0" shapeId="0" xr:uid="{058397CF-2891-4A1E-BCE0-EE5C75ABD6A8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F27" authorId="0" shapeId="0" xr:uid="{A0DF45AB-28E1-47CA-B2BD-18A9B3543653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F35" authorId="0" shapeId="0" xr:uid="{810B3D99-2A34-4A80-8539-4740441C8139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F45" authorId="0" shapeId="0" xr:uid="{2848DD96-4A9A-4604-888B-419087B620F0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F59" authorId="0" shapeId="0" xr:uid="{651576FA-1E24-4204-AB47-3DB28BD93729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F62" authorId="0" shapeId="0" xr:uid="{EADAF4CE-2B5D-4481-8E1C-1CCF71B9794D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F67" authorId="0" shapeId="0" xr:uid="{0932B475-151A-46F5-8BAF-CDFDA830968B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F71" authorId="0" shapeId="0" xr:uid="{F1E558D9-9FFC-4A87-A122-686589EC88E3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F76" authorId="0" shapeId="0" xr:uid="{37E26C83-4403-4B41-B64D-5F4CF205B024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C77" authorId="0" shapeId="0" xr:uid="{2E02F01D-C41E-4DDB-9019-C6187F9C76F0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Owner</author>
    <author>Jish Nath</author>
  </authors>
  <commentList>
    <comment ref="E7" authorId="0" shapeId="0" xr:uid="{134C1B71-BFF5-49F5-BC34-CB8E86D2EAE2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B8" authorId="0" shapeId="0" xr:uid="{2F622A12-8FF4-4880-8E5A-54D27440D873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PSE:  1-888-225-5773</t>
        </r>
      </text>
    </comment>
    <comment ref="B9" authorId="0" shapeId="0" xr:uid="{CE5E428B-F54A-4CC6-9800-090F9064A4D7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republic services
1-206-682-9735
</t>
        </r>
      </text>
    </comment>
    <comment ref="B11" authorId="0" shapeId="0" xr:uid="{AC1F7514-6926-466C-90E9-2D76F1D71280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ADT</t>
        </r>
      </text>
    </comment>
    <comment ref="B12" authorId="0" shapeId="0" xr:uid="{80A107FB-41BC-4967-BB67-BCC557B9CFA1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Xavier Landscaping</t>
        </r>
      </text>
    </comment>
    <comment ref="E20" authorId="0" shapeId="0" xr:uid="{D903FC54-035F-4877-BF12-43F2F87EC3F6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E27" authorId="0" shapeId="0" xr:uid="{1A616060-7C1F-4DBF-AB92-39950AAB64B3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E35" authorId="0" shapeId="0" xr:uid="{759CACCD-88C6-4469-9C97-D9432841D162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F41" authorId="0" shapeId="0" xr:uid="{D2AA01F6-DDF1-4D47-A0D1-A854AC1F3AED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tax accountant John Swanson</t>
        </r>
      </text>
    </comment>
    <comment ref="Q41" authorId="1" shapeId="0" xr:uid="{11AB4759-F7BE-47CC-8865-865CB04FBB95}">
      <text>
        <r>
          <rPr>
            <sz val="11"/>
            <color theme="1"/>
            <rFont val="Calibri"/>
            <family val="2"/>
            <scheme val="minor"/>
          </rPr>
          <t xml:space="preserve">Jish Nath:
Accounting for 14-15
</t>
        </r>
      </text>
    </comment>
    <comment ref="E45" authorId="0" shapeId="0" xr:uid="{7DE9F829-4C9D-4E17-8ECA-867B9D949C59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E62" authorId="0" shapeId="0" xr:uid="{75A01BB0-71BA-4110-9415-CA6D5492E6A4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E67" authorId="0" shapeId="0" xr:uid="{E22CCF62-BEED-402F-AF90-17A9F669099F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E71" authorId="0" shapeId="0" xr:uid="{F4A32A25-6B75-4869-855C-D8893215D42E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E76" authorId="0" shapeId="0" xr:uid="{15034FB6-8D78-495A-B6C0-BD833D179008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B77" authorId="0" shapeId="0" xr:uid="{FCCD26DA-9B69-4B7F-B5A2-681CAF7C9E07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Jish Nath</author>
    <author>Owner</author>
    <author>tc={3D3B4BF2-5CAD-466D-8055-C59F00BDE079}</author>
  </authors>
  <commentList>
    <comment ref="Q3" authorId="0" shapeId="0" xr:uid="{346FA7AB-01CD-4834-9211-DD4E4E8DCF4A}">
      <text>
        <r>
          <rPr>
            <sz val="11"/>
            <color theme="1"/>
            <rFont val="Calibri"/>
            <family val="2"/>
            <scheme val="minor"/>
          </rPr>
          <t>Jish Nath:
Seattle Colleges</t>
        </r>
      </text>
    </comment>
    <comment ref="R3" authorId="0" shapeId="0" xr:uid="{B2BF12D1-2FB3-4B06-9A2F-1C8F99EB8B58}">
      <text>
        <r>
          <rPr>
            <sz val="11"/>
            <color theme="1"/>
            <rFont val="Calibri"/>
            <family val="2"/>
            <scheme val="minor"/>
          </rPr>
          <t>Jish Nath:
Nityo</t>
        </r>
      </text>
    </comment>
    <comment ref="F4" authorId="0" shapeId="0" xr:uid="{94552551-3C85-4016-9EC0-381EDFD61E2D}">
      <text>
        <r>
          <rPr>
            <b/>
            <sz val="9"/>
            <color indexed="81"/>
            <rFont val="Tahoma"/>
            <family val="2"/>
          </rPr>
          <t>Jish Nath:</t>
        </r>
        <r>
          <rPr>
            <sz val="9"/>
            <color indexed="81"/>
            <rFont val="Tahoma"/>
            <family val="2"/>
          </rPr>
          <t xml:space="preserve">
this is calculated manually to audit the total from bank statements
</t>
        </r>
      </text>
    </comment>
    <comment ref="E7" authorId="1" shapeId="0" xr:uid="{2AE18957-1A1B-4F96-975F-C9F10908F615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B9" authorId="2" shapeId="0" xr:uid="{3D3B4BF2-5CAD-466D-8055-C59F00BDE079}">
      <text>
        <t>[Threaded comment]
Your version of Excel allows you to read this threaded comment; however, any edits to it will get removed if the file is opened in a newer version of Excel. Learn more: https://go.microsoft.com/fwlink/?linkid=870924
Comment:
    solid, recycle, yard</t>
      </text>
    </comment>
    <comment ref="E20" authorId="1" shapeId="0" xr:uid="{80D31DAD-B518-4CD7-A67A-2B1F12EF52D3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E27" authorId="1" shapeId="0" xr:uid="{36F7C4FF-A27E-4EDD-9FD6-B48A0DA9C7F8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E35" authorId="1" shapeId="0" xr:uid="{223DA5D7-25E8-45BA-9C82-7657ABC7C42A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E36" authorId="1" shapeId="0" xr:uid="{618F3D60-4C27-4FCF-A253-D13524EB4FE2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G36" authorId="0" shapeId="0" xr:uid="{AA289E1C-5358-47DE-BF19-3853AA48ABB5}">
      <text>
        <r>
          <rPr>
            <sz val="11"/>
            <color theme="1"/>
            <rFont val="Calibri"/>
            <family val="2"/>
            <scheme val="minor"/>
          </rPr>
          <t>Jish Nath:
GOOGLE DOMAINS</t>
        </r>
      </text>
    </comment>
    <comment ref="B44" authorId="0" shapeId="0" xr:uid="{D9A597A2-9C44-4F07-9BC4-B3B5ECCDB5F8}">
      <text>
        <r>
          <rPr>
            <sz val="11"/>
            <color theme="1"/>
            <rFont val="Calibri"/>
            <family val="2"/>
            <scheme val="minor"/>
          </rPr>
          <t>Jish Nath:
NEXT</t>
        </r>
      </text>
    </comment>
    <comment ref="E45" authorId="1" shapeId="0" xr:uid="{2C025D00-0ED6-4E30-83F4-6C7763801636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E59" authorId="1" shapeId="0" xr:uid="{D0DF3AB5-F9A0-4DA0-93DA-D1E3F2A186BA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E62" authorId="1" shapeId="0" xr:uid="{F6B47BE3-561B-4674-A768-650DD2253476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E67" authorId="1" shapeId="0" xr:uid="{75F86C43-3EF1-4D6F-B7C6-46C43804F983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E71" authorId="1" shapeId="0" xr:uid="{9F67DD2D-3FB0-4D9D-B84C-17C0529642A0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E76" authorId="1" shapeId="0" xr:uid="{2D570D31-BE9C-463F-B24B-BCB3D14DEA7D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  <comment ref="E77" authorId="1" shapeId="0" xr:uid="{39154592-D2C0-44E2-AE7B-D0028637FCAA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Ratio of Home Use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tc={1C360EC0-608F-4157-9EF3-64D1C4950EF0}</author>
  </authors>
  <commentList>
    <comment ref="C14" authorId="0" shapeId="0" xr:uid="{1C360EC0-608F-4157-9EF3-64D1C4950EF0}">
      <text>
        <t>[Threaded comment]
Your version of Excel allows you to read this threaded comment; however, any edits to it will get removed if the file is opened in a newer version of Excel. Learn more: https://go.microsoft.com/fwlink/?linkid=870924
Comment:
    solid, recycle, yard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tc={FE8A0E94-BE8E-4C6B-ACFE-580845CE9EDD}</author>
  </authors>
  <commentList>
    <comment ref="C14" authorId="0" shapeId="0" xr:uid="{FE8A0E94-BE8E-4C6B-ACFE-580845CE9EDD}">
      <text>
        <t>[Threaded comment]
Your version of Excel allows you to read this threaded comment; however, any edits to it will get removed if the file is opened in a newer version of Excel. Learn more: https://go.microsoft.com/fwlink/?linkid=870924
Comment:
    solid, recycle, yard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tc={73563A9C-5801-4934-B9EA-8975298DA591}</author>
  </authors>
  <commentList>
    <comment ref="C14" authorId="0" shapeId="0" xr:uid="{73563A9C-5801-4934-B9EA-8975298DA591}">
      <text>
        <t>[Threaded comment]
Your version of Excel allows you to read this threaded comment; however, any edits to it will get removed if the file is opened in a newer version of Excel. Learn more: https://go.microsoft.com/fwlink/?linkid=870924
Comment:
    solid, recycle, yard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tc={1155836C-BB16-47D0-9CB3-79D09498DE4C}</author>
  </authors>
  <commentList>
    <comment ref="B14" authorId="0" shapeId="0" xr:uid="{1155836C-BB16-47D0-9CB3-79D09498DE4C}">
      <text>
        <t>[Threaded comment]
Your version of Excel allows you to read this threaded comment; however, any edits to it will get removed if the file is opened in a newer version of Excel. Learn more: https://go.microsoft.com/fwlink/?linkid=870924
Comment:
    solid, recycle, yard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Jish Nath</author>
  </authors>
  <commentList>
    <comment ref="Q20" authorId="0" shapeId="0" xr:uid="{86DA3C87-1E83-4CD0-BC17-785CA527F0DF}">
      <text>
        <r>
          <rPr>
            <sz val="11"/>
            <color theme="1"/>
            <rFont val="Calibri"/>
            <family val="2"/>
            <scheme val="minor"/>
          </rPr>
          <t xml:space="preserve">Jish Nath:
Office Redesign Arch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Jish Nath</author>
  </authors>
  <commentList>
    <comment ref="P20" authorId="0" shapeId="0" xr:uid="{A3876256-A5AA-4B0E-96FA-96342005B999}">
      <text>
        <r>
          <rPr>
            <sz val="11"/>
            <color theme="1"/>
            <rFont val="Calibri"/>
            <family val="2"/>
            <scheme val="minor"/>
          </rPr>
          <t xml:space="preserve">Jish Nath:
Office Redesign Arch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Jish Nath</author>
  </authors>
  <commentList>
    <comment ref="P20" authorId="0" shapeId="0" xr:uid="{9E8B2AB7-2674-4E6F-A9A9-1D8CCF00DF14}">
      <text>
        <r>
          <rPr>
            <sz val="11"/>
            <color theme="1"/>
            <rFont val="Calibri"/>
            <family val="2"/>
            <scheme val="minor"/>
          </rPr>
          <t xml:space="preserve">Jish Nath:
Office Redesign Arch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Jish Nath</author>
  </authors>
  <commentList>
    <comment ref="S3" authorId="0" shapeId="0" xr:uid="{C566C160-CEC9-4602-94D9-72F55437BF4A}">
      <text>
        <r>
          <rPr>
            <sz val="11"/>
            <color theme="1"/>
            <rFont val="Calibri"/>
            <family val="2"/>
            <scheme val="minor"/>
          </rPr>
          <t>Jish Nath:
Seattle Colleges</t>
        </r>
      </text>
    </comment>
    <comment ref="T3" authorId="0" shapeId="0" xr:uid="{9C82FFD6-510A-4509-96C7-1808E39AE010}">
      <text>
        <r>
          <rPr>
            <sz val="11"/>
            <color theme="1"/>
            <rFont val="Calibri"/>
            <family val="2"/>
            <scheme val="minor"/>
          </rPr>
          <t>Jish Nath:
Nityo</t>
        </r>
      </text>
    </comment>
    <comment ref="D19" authorId="0" shapeId="0" xr:uid="{9A2DC78E-B4A1-415E-B67D-E44A7E9011F8}">
      <text>
        <r>
          <rPr>
            <sz val="11"/>
            <color theme="1"/>
            <rFont val="Calibri"/>
            <family val="2"/>
            <scheme val="minor"/>
          </rPr>
          <t>Jish Nath:
NEXT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Jish Nath</author>
  </authors>
  <commentList>
    <comment ref="S3" authorId="0" shapeId="0" xr:uid="{ABAA8EBC-B2D6-41B0-B673-8B1CA655099C}">
      <text>
        <r>
          <rPr>
            <sz val="11"/>
            <color theme="1"/>
            <rFont val="Calibri"/>
            <family val="2"/>
            <scheme val="minor"/>
          </rPr>
          <t>Jish Nath:
Seattle Colleges</t>
        </r>
      </text>
    </comment>
    <comment ref="T3" authorId="0" shapeId="0" xr:uid="{4AB2C59A-7CF7-4458-9468-BE466314252B}">
      <text>
        <r>
          <rPr>
            <sz val="11"/>
            <color theme="1"/>
            <rFont val="Calibri"/>
            <family val="2"/>
            <scheme val="minor"/>
          </rPr>
          <t>Jish Nath:
Nityo</t>
        </r>
      </text>
    </comment>
    <comment ref="D19" authorId="0" shapeId="0" xr:uid="{F497D2FC-C484-42A1-9A9C-EC6F0232D28A}">
      <text>
        <r>
          <rPr>
            <sz val="11"/>
            <color theme="1"/>
            <rFont val="Calibri"/>
            <family val="2"/>
            <scheme val="minor"/>
          </rPr>
          <t>Jish Nath:
NEXT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Jish Nath</author>
  </authors>
  <commentList>
    <comment ref="S3" authorId="0" shapeId="0" xr:uid="{9197DB8F-E265-4546-82C2-66260B660604}">
      <text>
        <r>
          <rPr>
            <sz val="11"/>
            <color theme="1"/>
            <rFont val="Calibri"/>
            <family val="2"/>
            <scheme val="minor"/>
          </rPr>
          <t>Jish Nath:
Seattle Colleges</t>
        </r>
      </text>
    </comment>
    <comment ref="T3" authorId="0" shapeId="0" xr:uid="{7166F407-E254-4DD8-8DB6-98C16F7125F9}">
      <text>
        <r>
          <rPr>
            <sz val="11"/>
            <color theme="1"/>
            <rFont val="Calibri"/>
            <family val="2"/>
            <scheme val="minor"/>
          </rPr>
          <t>Jish Nath:
Nityo</t>
        </r>
      </text>
    </comment>
    <comment ref="D19" authorId="0" shapeId="0" xr:uid="{F2FDB628-6858-40D0-87AC-98AD62CCBC98}">
      <text>
        <r>
          <rPr>
            <sz val="11"/>
            <color theme="1"/>
            <rFont val="Calibri"/>
            <family val="2"/>
            <scheme val="minor"/>
          </rPr>
          <t>Jish Nath:
NEXT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Jish Nath</author>
  </authors>
  <commentList>
    <comment ref="S3" authorId="0" shapeId="0" xr:uid="{54EB4C0C-DCF6-465A-A4DF-B65815E2D2EE}">
      <text>
        <r>
          <rPr>
            <sz val="11"/>
            <color theme="1"/>
            <rFont val="Calibri"/>
            <family val="2"/>
            <scheme val="minor"/>
          </rPr>
          <t>Jish Nath:
Seattle Colleges</t>
        </r>
      </text>
    </comment>
    <comment ref="T3" authorId="0" shapeId="0" xr:uid="{DBDE0522-E489-4A70-85BD-0AFBEC92D310}">
      <text>
        <r>
          <rPr>
            <sz val="11"/>
            <color theme="1"/>
            <rFont val="Calibri"/>
            <family val="2"/>
            <scheme val="minor"/>
          </rPr>
          <t>Jish Nath:
Nityo</t>
        </r>
      </text>
    </comment>
    <comment ref="D19" authorId="0" shapeId="0" xr:uid="{63571E84-E99E-4D60-A17A-6DB105384F84}">
      <text>
        <r>
          <rPr>
            <sz val="11"/>
            <color theme="1"/>
            <rFont val="Calibri"/>
            <family val="2"/>
            <scheme val="minor"/>
          </rPr>
          <t>Jish Nath:
NEXT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Jish Nath</author>
  </authors>
  <commentList>
    <comment ref="Q3" authorId="0" shapeId="0" xr:uid="{E1044ED8-C44C-4504-99C8-6C437E478DD6}">
      <text>
        <r>
          <rPr>
            <sz val="11"/>
            <color theme="1"/>
            <rFont val="Calibri"/>
            <family val="2"/>
            <scheme val="minor"/>
          </rPr>
          <t>Jish Nath:
Seattle Colleges</t>
        </r>
      </text>
    </comment>
    <comment ref="R3" authorId="0" shapeId="0" xr:uid="{887AAB4B-3CD9-4092-B5FA-92DD8EC56359}">
      <text>
        <r>
          <rPr>
            <sz val="11"/>
            <color theme="1"/>
            <rFont val="Calibri"/>
            <family val="2"/>
            <scheme val="minor"/>
          </rPr>
          <t>Jish Nath:
Nityo</t>
        </r>
      </text>
    </comment>
    <comment ref="D19" authorId="0" shapeId="0" xr:uid="{585C5F4D-F201-40EA-8CAC-B2F98424D513}">
      <text>
        <r>
          <rPr>
            <sz val="11"/>
            <color theme="1"/>
            <rFont val="Calibri"/>
            <family val="2"/>
            <scheme val="minor"/>
          </rPr>
          <t xml:space="preserve">Jish Nath: 6RTsx134 miles=1608 miles
2019: 0.58 =$932.64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Jish Nath</author>
  </authors>
  <commentList>
    <comment ref="Q3" authorId="0" shapeId="0" xr:uid="{71C09ABF-4BA6-47B9-9879-F8067107D1DE}">
      <text>
        <r>
          <rPr>
            <sz val="11"/>
            <color theme="1"/>
            <rFont val="Calibri"/>
            <family val="2"/>
            <scheme val="minor"/>
          </rPr>
          <t>Jish Nath:
Seattle Colleges</t>
        </r>
      </text>
    </comment>
    <comment ref="R3" authorId="0" shapeId="0" xr:uid="{35F35D8F-11FE-4359-9FA3-A5F2E4F3C9B4}">
      <text>
        <r>
          <rPr>
            <sz val="11"/>
            <color theme="1"/>
            <rFont val="Calibri"/>
            <family val="2"/>
            <scheme val="minor"/>
          </rPr>
          <t>Jish Nath:
Nityo</t>
        </r>
      </text>
    </comment>
    <comment ref="B22" authorId="0" shapeId="0" xr:uid="{552AC221-19B8-4DFC-AAB2-03623C0A5974}">
      <text>
        <r>
          <rPr>
            <sz val="11"/>
            <color theme="1"/>
            <rFont val="Calibri"/>
            <family val="2"/>
            <scheme val="minor"/>
          </rPr>
          <t>Jish Nath:
HoA started in 2014 for Canada Condo</t>
        </r>
      </text>
    </comment>
    <comment ref="D45" authorId="0" shapeId="0" xr:uid="{98A1AEEE-C2FB-4EC2-86A0-0DAE3A94B4D5}">
      <text>
        <r>
          <rPr>
            <sz val="11"/>
            <color theme="1"/>
            <rFont val="Calibri"/>
            <family val="2"/>
            <scheme val="minor"/>
          </rPr>
          <t>Jish Nath: 9RTsx134 miles=2412 miles
2012: 0.55/mile =$1326.6
2013: 0.565/mile=$1362.78
2014: .56/m     =$1350.72
2015: 0.575/m   =$1386.9
2016: 0.54      =$1302.48
2017: 0.535     =$1290.42
2018: 0.545*1/2 =$657.27
Total:  USD 8677.17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Jish Nath</author>
    <author>tc={920324D9-8055-4D89-8794-FBCDA52AED79}</author>
  </authors>
  <commentList>
    <comment ref="D9" authorId="0" shapeId="0" xr:uid="{E8B4727E-23AC-4D52-833F-050112864152}">
      <text>
        <r>
          <rPr>
            <sz val="11"/>
            <color theme="1"/>
            <rFont val="Calibri"/>
            <family val="2"/>
            <scheme val="minor"/>
          </rPr>
          <t>Jish Nath:
unclaimed Kingswood Leasing 225 from 2016
930.91 to Pawnee in 2016</t>
        </r>
      </text>
    </comment>
    <comment ref="C19" authorId="1" shapeId="0" xr:uid="{920324D9-8055-4D89-8794-FBCDA52AED79}">
      <text>
        <t>[Threaded comment]
Your version of Excel allows you to read this threaded comment; however, any edits to it will get removed if the file is opened in a newer version of Excel. Learn more: https://go.microsoft.com/fwlink/?linkid=870924
Comment:
    @David  Inventory is what i am working on right now</t>
      </text>
    </comment>
    <comment ref="D21" authorId="0" shapeId="0" xr:uid="{ACF790F3-06C4-4F15-AD0B-C9467C2DF767}">
      <text>
        <r>
          <rPr>
            <sz val="11"/>
            <color theme="1"/>
            <rFont val="Calibri"/>
            <family val="2"/>
            <scheme val="minor"/>
          </rPr>
          <t>Jish Nath:
Harland Checks (unclaimed from 2015)</t>
        </r>
      </text>
    </comment>
    <comment ref="C30" authorId="0" shapeId="0" xr:uid="{362514B5-DD72-4B05-9AB5-C258C784F96E}">
      <text>
        <r>
          <rPr>
            <sz val="11"/>
            <color theme="1"/>
            <rFont val="Calibri"/>
            <family val="2"/>
            <scheme val="minor"/>
          </rPr>
          <t xml:space="preserve">Jish Nath:
unclaimed in 2015 &amp; 2016 for these folks
</t>
        </r>
      </text>
    </comment>
    <comment ref="D30" authorId="0" shapeId="0" xr:uid="{E386C400-F60B-4E72-BBE0-0602D90CC1BD}">
      <text>
        <r>
          <rPr>
            <sz val="11"/>
            <color theme="1"/>
            <rFont val="Calibri"/>
            <family val="2"/>
            <scheme val="minor"/>
          </rPr>
          <t>Jish Nath:
659.98 for Kris Robbins in 2015
500 to Griffin Richardson</t>
        </r>
      </text>
    </comment>
    <comment ref="D32" authorId="0" shapeId="0" xr:uid="{C7A8F3B0-F661-48B6-9E9A-17554B3CC880}">
      <text>
        <r>
          <rPr>
            <sz val="11"/>
            <color theme="1"/>
            <rFont val="Calibri"/>
            <family val="2"/>
            <scheme val="minor"/>
          </rPr>
          <t>Jish Nath:
unclaimed DOH plan review from 2016</t>
        </r>
      </text>
    </comment>
    <comment ref="D44" authorId="0" shapeId="0" xr:uid="{774EE8C3-61F2-4AE4-9774-41DC3201084A}">
      <text>
        <r>
          <rPr>
            <sz val="11"/>
            <color theme="1"/>
            <rFont val="Calibri"/>
            <family val="2"/>
            <scheme val="minor"/>
          </rPr>
          <t>Jish Nath:
paint by jose gomez in 2016</t>
        </r>
      </text>
    </comment>
  </commentList>
</comments>
</file>

<file path=xl/sharedStrings.xml><?xml version="1.0" encoding="utf-8"?>
<sst xmlns="http://schemas.openxmlformats.org/spreadsheetml/2006/main" count="1489" uniqueCount="339">
  <si>
    <t>INR to USD</t>
  </si>
  <si>
    <t>INR to CAD</t>
  </si>
  <si>
    <t>Mileage</t>
  </si>
  <si>
    <t>Home Use %</t>
  </si>
  <si>
    <t>W2 Wages</t>
  </si>
  <si>
    <t>Taxes Withheld</t>
  </si>
  <si>
    <t>Biz Income/Loss</t>
  </si>
  <si>
    <t>work in progress</t>
  </si>
  <si>
    <t>1. Comfort Foods (dba Robertos Pizza)</t>
  </si>
  <si>
    <t>2. CloudBaud LLC</t>
  </si>
  <si>
    <t>question for IRS or CPA</t>
  </si>
  <si>
    <t>3. Teaching Income</t>
  </si>
  <si>
    <t>4. Canada Condo Sale</t>
  </si>
  <si>
    <t>complete for CPA</t>
  </si>
  <si>
    <t>Rental Income</t>
  </si>
  <si>
    <t>1.  Olympic Court</t>
  </si>
  <si>
    <t>filed with CPA</t>
  </si>
  <si>
    <t>2.  Cherry Crest</t>
  </si>
  <si>
    <t>3.  Woodridge</t>
  </si>
  <si>
    <t>filed with IRS</t>
  </si>
  <si>
    <t>Jishnu Roth IRA</t>
  </si>
  <si>
    <t>Deepika ROTH IRA</t>
  </si>
  <si>
    <t>SEP IRA</t>
  </si>
  <si>
    <t>1099-R</t>
  </si>
  <si>
    <t>Child Education Fund</t>
  </si>
  <si>
    <t>Itemized deductions</t>
  </si>
  <si>
    <t>Real Estate Interest Woodridge</t>
  </si>
  <si>
    <t>Real Estate Interest Lake Hills</t>
  </si>
  <si>
    <t>Real Estate Interest Olympic Court</t>
  </si>
  <si>
    <t>Real Estate Taxes Woodridge</t>
  </si>
  <si>
    <t>Real Estate Taxes Cherry Crest</t>
  </si>
  <si>
    <t>Real Estate Taxes Lake Hills</t>
  </si>
  <si>
    <t>Real Estate Taxes Olympic Court</t>
  </si>
  <si>
    <t>Real Estate Taxes Rudins Lounge</t>
  </si>
  <si>
    <t>Capital Gains/Loss</t>
  </si>
  <si>
    <t>Investment Interest</t>
  </si>
  <si>
    <t>Gifts to Charity</t>
  </si>
  <si>
    <t>Rs. 50000</t>
  </si>
  <si>
    <t>Medical/Dental HSA</t>
  </si>
  <si>
    <t>keys, packing</t>
  </si>
  <si>
    <t>grass cutting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</si>
  <si>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</si>
  <si>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</si>
  <si>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</si>
  <si>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</si>
  <si>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</si>
  <si>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</si>
  <si>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</si>
  <si>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</si>
  <si>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</si>
  <si>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</si>
  <si>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</si>
  <si>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</si>
  <si>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</si>
  <si>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Check#</t>
  </si>
  <si>
    <t>Amount</t>
  </si>
  <si>
    <t>Date</t>
  </si>
  <si>
    <t>Payee</t>
  </si>
  <si>
    <t>YTD</t>
  </si>
  <si>
    <t>UTILITIES</t>
  </si>
  <si>
    <t>Prorated</t>
  </si>
  <si>
    <t>Rate</t>
  </si>
  <si>
    <t>Annual</t>
  </si>
  <si>
    <t>ELECTRICITY</t>
  </si>
  <si>
    <t>WASTE</t>
  </si>
  <si>
    <t>Water</t>
  </si>
  <si>
    <t>Security</t>
  </si>
  <si>
    <t>Landscaping</t>
  </si>
  <si>
    <t>Home Owners Insurance</t>
  </si>
  <si>
    <t>Appliance Maintenance</t>
  </si>
  <si>
    <t>Mobile</t>
  </si>
  <si>
    <t>Mobile Device (samsung)</t>
  </si>
  <si>
    <t>Biz Registration</t>
  </si>
  <si>
    <t>WA DOR</t>
  </si>
  <si>
    <t>Garnishment Fee</t>
  </si>
  <si>
    <t>LNI Insurance</t>
  </si>
  <si>
    <t>WA Employment Security</t>
  </si>
  <si>
    <t>Commercial Insurance</t>
  </si>
  <si>
    <t>Supplies</t>
  </si>
  <si>
    <t>STATIONARIES</t>
  </si>
  <si>
    <t>PAYROLL</t>
  </si>
  <si>
    <t>godaddy</t>
  </si>
  <si>
    <t>WEB HOSTING</t>
  </si>
  <si>
    <t>xfiniti</t>
  </si>
  <si>
    <t>BROADBAND</t>
  </si>
  <si>
    <t>t-mobile</t>
  </si>
  <si>
    <t>Logo Services</t>
  </si>
  <si>
    <t>logo</t>
  </si>
  <si>
    <t>Temp Services</t>
  </si>
  <si>
    <t>misc.</t>
  </si>
  <si>
    <t>Professional Services</t>
  </si>
  <si>
    <t>Bank Fees</t>
  </si>
  <si>
    <t>RENOVATION</t>
  </si>
  <si>
    <t>Flooring</t>
  </si>
  <si>
    <t>Edilberto</t>
  </si>
  <si>
    <t>Paint</t>
  </si>
  <si>
    <t>SEARS</t>
  </si>
  <si>
    <t>bathroom</t>
  </si>
  <si>
    <t>BoA</t>
  </si>
  <si>
    <t>electrical work</t>
  </si>
  <si>
    <t>Auto Mileage (client visits)</t>
  </si>
  <si>
    <t>PROFESSIONAL SUBSCRIPTIONS</t>
  </si>
  <si>
    <t>Cloud Academy</t>
  </si>
  <si>
    <t>Packt</t>
  </si>
  <si>
    <t>Pluralsight</t>
  </si>
  <si>
    <t>Linux Academy</t>
  </si>
  <si>
    <t>Adobe</t>
  </si>
  <si>
    <t>O365</t>
  </si>
  <si>
    <t>Microsoft Alumni</t>
  </si>
  <si>
    <t>zach devita</t>
  </si>
  <si>
    <t>LinkedIn</t>
  </si>
  <si>
    <t>self</t>
  </si>
  <si>
    <t>itunes</t>
  </si>
  <si>
    <t>2023 IRS rate</t>
  </si>
  <si>
    <t>SUBSCRIPTIONS</t>
  </si>
  <si>
    <t>July</t>
  </si>
  <si>
    <t>Google</t>
  </si>
  <si>
    <t>google/fb</t>
  </si>
  <si>
    <t>Digital Ads</t>
  </si>
  <si>
    <t>Legal Membership</t>
  </si>
  <si>
    <t>Business Insurance</t>
  </si>
  <si>
    <t>Apple.com</t>
  </si>
  <si>
    <t>Audible.com</t>
  </si>
  <si>
    <t>Amazon</t>
  </si>
  <si>
    <t>DOODLY</t>
  </si>
  <si>
    <t>Whizlabs</t>
  </si>
  <si>
    <t>AUTO MILEAGE</t>
  </si>
  <si>
    <t>2021 IRS rate</t>
  </si>
  <si>
    <t>Sources</t>
  </si>
  <si>
    <t>Various</t>
  </si>
  <si>
    <t>PSE</t>
  </si>
  <si>
    <t>City</t>
  </si>
  <si>
    <t>ADT</t>
  </si>
  <si>
    <t>Personal</t>
  </si>
  <si>
    <t>T-Mobile</t>
  </si>
  <si>
    <t>Comcast</t>
  </si>
  <si>
    <t>Olympia + KC + City</t>
  </si>
  <si>
    <t>PROFESSIONAL SERVICES</t>
  </si>
  <si>
    <t>2020 IRS rate</t>
  </si>
  <si>
    <t>W2 Ethan Rose</t>
  </si>
  <si>
    <t>Fed 76.44; FICA 62; Medicare 14.5</t>
  </si>
  <si>
    <t>W2 Zach DeVita</t>
  </si>
  <si>
    <t>1099 Shirish Sharma</t>
  </si>
  <si>
    <t>IRA</t>
  </si>
  <si>
    <t>home depot</t>
  </si>
  <si>
    <t>Last Update</t>
  </si>
  <si>
    <t>jan</t>
  </si>
  <si>
    <t>DOR</t>
  </si>
  <si>
    <t>Deepika</t>
  </si>
  <si>
    <t>edilberto</t>
  </si>
  <si>
    <t>feb</t>
  </si>
  <si>
    <t>CCMSEARS</t>
  </si>
  <si>
    <t>Plumbing</t>
  </si>
  <si>
    <t>concrete</t>
  </si>
  <si>
    <t>paint</t>
  </si>
  <si>
    <t>Stationaries</t>
  </si>
  <si>
    <t>hector hickman</t>
  </si>
  <si>
    <t>king county treasury</t>
  </si>
  <si>
    <t>GoDaddy</t>
  </si>
  <si>
    <t>2018 IRS rate</t>
  </si>
  <si>
    <t>faucets</t>
  </si>
  <si>
    <t>furniture</t>
  </si>
  <si>
    <t>lights</t>
  </si>
  <si>
    <t>electricity</t>
  </si>
  <si>
    <t>taxes</t>
  </si>
  <si>
    <t>cleaning</t>
  </si>
  <si>
    <t>Staff</t>
  </si>
  <si>
    <t>Western Tile</t>
  </si>
  <si>
    <t>idtech</t>
  </si>
  <si>
    <t>eco electric</t>
  </si>
  <si>
    <t>priceline</t>
  </si>
  <si>
    <t>homedepot</t>
  </si>
  <si>
    <t>CONSULTING REVENUE</t>
  </si>
  <si>
    <t>TOTAL EXPENSES</t>
  </si>
  <si>
    <t>NET REVENUE</t>
  </si>
  <si>
    <t>Electricity</t>
  </si>
  <si>
    <t>Waste &amp; Recycle</t>
  </si>
  <si>
    <t>Water &amp; Sewer</t>
  </si>
  <si>
    <t>Apple Warranty</t>
  </si>
  <si>
    <t>Computers Warranty</t>
  </si>
  <si>
    <t>Cellular Service</t>
  </si>
  <si>
    <t>Broadband</t>
  </si>
  <si>
    <t>TV Cable</t>
  </si>
  <si>
    <t>DEPRECIABLE ASSETS</t>
  </si>
  <si>
    <t>ASUS Laptop</t>
  </si>
  <si>
    <t>Cellphone Device</t>
  </si>
  <si>
    <t>Books</t>
  </si>
  <si>
    <t>GOVERNMENT FEES</t>
  </si>
  <si>
    <t>DOL</t>
  </si>
  <si>
    <t>Licensing</t>
  </si>
  <si>
    <t>WA DOR Excise Tax</t>
  </si>
  <si>
    <t>Web Domains</t>
  </si>
  <si>
    <t>Web Hosting</t>
  </si>
  <si>
    <t>SETUP EXPENSES</t>
  </si>
  <si>
    <t>WOODRIDGE OFFICE RENOVATION</t>
  </si>
  <si>
    <t>INDIA OFFICE RENOVATION</t>
  </si>
  <si>
    <t>INDIA OFFICE EXPENSES</t>
  </si>
  <si>
    <t>Zach DeVita</t>
  </si>
  <si>
    <t>1099 Revenue</t>
  </si>
  <si>
    <t>Total Expenses</t>
  </si>
  <si>
    <t>Mortgage Interest</t>
  </si>
  <si>
    <t>Real-estate Taxes</t>
  </si>
  <si>
    <t>HOA</t>
  </si>
  <si>
    <t>Property Management</t>
  </si>
  <si>
    <t>Gross Income</t>
  </si>
  <si>
    <t>Rental Revenue</t>
  </si>
  <si>
    <t>Ratio of Home Use</t>
  </si>
  <si>
    <t>HoA Dues</t>
  </si>
  <si>
    <t>2019 IRS rate</t>
  </si>
  <si>
    <t>Rental Revenue (CAD)</t>
  </si>
  <si>
    <t>HoA</t>
  </si>
  <si>
    <t>Auto Mileage (condo visits)</t>
  </si>
  <si>
    <t>Paint &amp; Repairs</t>
  </si>
  <si>
    <t>1 CAD=</t>
  </si>
  <si>
    <t>USD (average rate in 2019)</t>
  </si>
  <si>
    <t>GRAND TOTAL (USD)</t>
  </si>
  <si>
    <t>USD</t>
  </si>
  <si>
    <t>Mortgage Interest - 2019</t>
  </si>
  <si>
    <t>Home Insurance -2019</t>
  </si>
  <si>
    <t>HoA - 2019</t>
  </si>
  <si>
    <t>Property Taxes - 2019</t>
  </si>
  <si>
    <t>Property Management - 2019 only</t>
  </si>
  <si>
    <t>Auto Mileage (condo visits in 2019)</t>
  </si>
  <si>
    <t>$0.58 per mile</t>
  </si>
  <si>
    <t>Appliances</t>
  </si>
  <si>
    <t>USD (average rate in 2018)</t>
  </si>
  <si>
    <t>Total Rental Revenue</t>
  </si>
  <si>
    <t>Total Rental Expenses</t>
  </si>
  <si>
    <t>Mortgage Interest - 2012</t>
  </si>
  <si>
    <t>Mortgage Interest - 2013</t>
  </si>
  <si>
    <t>Mortgage Interest - 2014</t>
  </si>
  <si>
    <t>Mortgage Interest - 2015</t>
  </si>
  <si>
    <t>Mortgage Interest - 2016</t>
  </si>
  <si>
    <t>Mortgage Interest - 2017</t>
  </si>
  <si>
    <t>Mortgage Interest - 2018</t>
  </si>
  <si>
    <t>Mortgage Interest Subtotal</t>
  </si>
  <si>
    <t>Home Insurance - 2012</t>
  </si>
  <si>
    <t>Home Insurance - 2013</t>
  </si>
  <si>
    <t>Home Insurance - 2014</t>
  </si>
  <si>
    <t>Home Insurance - 2015</t>
  </si>
  <si>
    <t>Home Insurance - 2016</t>
  </si>
  <si>
    <t>Home Insurance - 2017</t>
  </si>
  <si>
    <t>Home Insurance - 2018</t>
  </si>
  <si>
    <t>Home Insurance Subtotal</t>
  </si>
  <si>
    <t>HoA - 2014</t>
  </si>
  <si>
    <t>HoA - 2015</t>
  </si>
  <si>
    <t>HoA - 2016</t>
  </si>
  <si>
    <t>HoA - 2017</t>
  </si>
  <si>
    <t>HoA - 2018</t>
  </si>
  <si>
    <t>HoA Fee Subtotal</t>
  </si>
  <si>
    <t>Property Taxes - 2012</t>
  </si>
  <si>
    <t>Property Taxes - 2013</t>
  </si>
  <si>
    <t>Property Taxes - 2014</t>
  </si>
  <si>
    <t>Property Taxes - 2015</t>
  </si>
  <si>
    <t>Property Taxes - 2016</t>
  </si>
  <si>
    <t>Property Taxes - 2017</t>
  </si>
  <si>
    <t>Property Taxes - 2018</t>
  </si>
  <si>
    <t>Property Tax Subtotal</t>
  </si>
  <si>
    <t>Property Management - 2018 only</t>
  </si>
  <si>
    <t>Auto Mileage (condo visits since 2012)</t>
  </si>
  <si>
    <t>Mortgage</t>
  </si>
  <si>
    <t>Insurance</t>
  </si>
  <si>
    <t>Woodridge</t>
  </si>
  <si>
    <t>Cherry</t>
  </si>
  <si>
    <t>Olympic</t>
  </si>
  <si>
    <t>Real estate Taxes</t>
  </si>
  <si>
    <t>2018 only</t>
  </si>
  <si>
    <t>Total Revenue</t>
  </si>
  <si>
    <t>RENT</t>
  </si>
  <si>
    <t xml:space="preserve"> $-   </t>
  </si>
  <si>
    <t>EQUIPMENT LEASING</t>
  </si>
  <si>
    <t>Mobile Device (moto)</t>
  </si>
  <si>
    <t>Coca Cola Machine</t>
  </si>
  <si>
    <t>2017 Excise</t>
  </si>
  <si>
    <t>Food Inventory</t>
  </si>
  <si>
    <t>Wages</t>
  </si>
  <si>
    <t>SS withheld by ADP</t>
  </si>
  <si>
    <t>Medicare Tax Withheld by ADP</t>
  </si>
  <si>
    <t xml:space="preserve">Fed Tax Withheld </t>
  </si>
  <si>
    <t>TEMP SERVICES</t>
  </si>
  <si>
    <t>ADP Fees</t>
  </si>
  <si>
    <t>Unclaimed Contract Labor</t>
  </si>
  <si>
    <t>LAUNDRY</t>
  </si>
  <si>
    <t>Professional Fees</t>
  </si>
  <si>
    <t>Comcast Business BROADBAND</t>
  </si>
  <si>
    <t>PHONE</t>
  </si>
  <si>
    <t>CELLULAR</t>
  </si>
  <si>
    <t>Asbestos</t>
  </si>
  <si>
    <t>Flooring Cement</t>
  </si>
  <si>
    <t>Ceiling Speakers</t>
  </si>
  <si>
    <t>low voltage wiring</t>
  </si>
  <si>
    <t>iPads Two</t>
  </si>
  <si>
    <t>iPad Stand</t>
  </si>
  <si>
    <t>Cash Drawer</t>
  </si>
  <si>
    <t>Bathroom Holder</t>
  </si>
  <si>
    <t>Furniture Fraud</t>
  </si>
  <si>
    <t>Remodeling Fraud</t>
  </si>
  <si>
    <t>Date Aquired</t>
  </si>
  <si>
    <t>Price Paid</t>
  </si>
  <si>
    <t>Office Furnitures</t>
  </si>
  <si>
    <t>Hutch &amp; Desk</t>
  </si>
  <si>
    <t>Chair</t>
  </si>
  <si>
    <t>Bookshelf</t>
  </si>
  <si>
    <t>Corner Table</t>
  </si>
  <si>
    <t>Leather Pad</t>
  </si>
  <si>
    <t>Web cam</t>
  </si>
  <si>
    <t>overhead lamps and lights</t>
  </si>
  <si>
    <t>monitor</t>
  </si>
  <si>
    <t>LG Extra-wide</t>
  </si>
  <si>
    <t>LG Wide</t>
  </si>
  <si>
    <t>LG</t>
  </si>
  <si>
    <t>Samsung</t>
  </si>
  <si>
    <t>ACER</t>
  </si>
  <si>
    <t>Laptop</t>
  </si>
  <si>
    <t>iPad</t>
  </si>
  <si>
    <t>iPad 2</t>
  </si>
  <si>
    <t>iPhones</t>
  </si>
  <si>
    <t>Android</t>
  </si>
  <si>
    <t>Samsung Tablet</t>
  </si>
  <si>
    <t>Printer</t>
  </si>
  <si>
    <t>Cartridge</t>
  </si>
  <si>
    <t>wifi Setup</t>
  </si>
  <si>
    <t>Mouse</t>
  </si>
  <si>
    <t>Keyboard</t>
  </si>
  <si>
    <t>Remarkable</t>
  </si>
  <si>
    <t>PC</t>
  </si>
  <si>
    <t>Memory Chips</t>
  </si>
  <si>
    <t>Graphics Cards</t>
  </si>
  <si>
    <t>LAKE HILLS</t>
  </si>
  <si>
    <t>WOODRIDGE</t>
  </si>
  <si>
    <t>CHERRY CREST</t>
  </si>
  <si>
    <t>OLYMPIC COURT</t>
  </si>
  <si>
    <t>RUDINS LOUNGE</t>
  </si>
  <si>
    <t>EVOLVE</t>
  </si>
  <si>
    <t>USHAKAMAL</t>
  </si>
  <si>
    <t>GREEN HOME</t>
  </si>
  <si>
    <t>Cost basis</t>
  </si>
  <si>
    <t>Taxes</t>
  </si>
  <si>
    <t>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</si>
</sst>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[$CAD]\ #,##0.00"/>
    <numFmt numFmtId="166" formatCode="&quot;$&quot;#,##0.00"/>
    <numFmt numFmtId="167" formatCode="0.0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  <scheme val="minor"/>
    </font>
    <font>
      <b/>
      <sz val="11"/>
      <color rgb="FF70AD47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70AD47"/>
      <name val="Calibri"/>
      <family val="2"/>
      <scheme val="minor"/>
    </font>
    <font>
      <sz val="12"/>
      <color rgb="FF4A4A4A"/>
      <name val="Roboto"/>
      <charset val="1"/>
    </font>
    <font>
      <sz val="8"/>
      <color rgb="FF000000"/>
      <name val="Arial"/>
      <family val="2"/>
    </font>
    <font>
      <sz val="11"/>
      <color rgb="FFFF0000"/>
      <name val="Roboto"/>
      <charset val="1"/>
    </font>
    <font>
      <sz val="11"/>
      <color rgb="FFFF0000"/>
      <name val="Arial"/>
      <family val="2"/>
    </font>
    <font>
      <b/>
      <sz val="11"/>
      <color theme="9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 tint="0.14999847407452621"/>
      <name val="Calibri"/>
      <family val="2"/>
      <scheme val="minor"/>
    </font>
    <font>
      <i/>
      <sz val="8"/>
      <color rgb="FF000000"/>
      <name val="Calibri"/>
      <family val="2"/>
      <scheme val="minor"/>
    </font>
    <font>
      <b/>
      <i/>
      <sz val="11"/>
      <color rgb="FFFFFFFF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theme="0"/>
      <name val="Calibri"/>
      <family val="2"/>
      <scheme val="minor"/>
    </font>
    <font>
      <b/>
      <sz val="11"/>
      <color rgb="FF70AD47"/>
      <name val="Calibri"/>
      <family val="2"/>
    </font>
    <font>
      <sz val="11"/>
      <color rgb="FF000000"/>
      <name val="Calibri"/>
      <family val="2"/>
    </font>
    <font>
      <sz val="11"/>
      <color theme="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</fills>
  <borders count="10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 diagonalDown="1">
      <left style="medium">
        <color rgb="FFFFFF00"/>
      </left>
      <right style="medium">
        <color rgb="FFFFFF00"/>
      </right>
      <top style="medium">
        <color rgb="FFFFFF00"/>
      </top>
      <bottom style="medium">
        <color rgb="FFFFFF00"/>
      </bottom>
      <diagonal style="thin">
        <color rgb="FFFFFF00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medium">
        <color indexed="64"/>
      </left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medium">
        <color indexed="64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79">
    <xf numFmtId="0" fontId="0" fillId="0" borderId="0" xfId="0"/>
    <xf numFmtId="44" fontId="0" fillId="0" borderId="0" xfId="1" applyFont="1"/>
    <xf numFmtId="0" fontId="5" fillId="0" borderId="0" xfId="0" applyFont="1"/>
    <xf numFmtId="0" fontId="6" fillId="2" borderId="0" xfId="0" applyFont="1" applyFill="1" applyAlignment="1">
      <alignment horizontal="center"/>
    </xf>
    <xf numFmtId="8" fontId="5" fillId="0" borderId="0" xfId="0" applyNumberFormat="1" applyFont="1"/>
    <xf numFmtId="0" fontId="7" fillId="0" borderId="0" xfId="0" applyFont="1"/>
    <xf numFmtId="8" fontId="7" fillId="0" borderId="0" xfId="0" applyNumberFormat="1" applyFont="1"/>
    <xf numFmtId="0" fontId="8" fillId="0" borderId="0" xfId="0" applyFont="1"/>
    <xf numFmtId="0" fontId="5" fillId="0" borderId="0" xfId="0" applyFont="1" applyAlignment="1">
      <alignment horizontal="left" indent="2"/>
    </xf>
    <xf numFmtId="164" fontId="5" fillId="0" borderId="0" xfId="0" applyNumberFormat="1" applyFont="1"/>
    <xf numFmtId="164" fontId="7" fillId="0" borderId="0" xfId="0" applyNumberFormat="1" applyFont="1"/>
    <xf numFmtId="164" fontId="9" fillId="0" borderId="0" xfId="0" applyNumberFormat="1" applyFont="1"/>
    <xf numFmtId="164" fontId="0" fillId="0" borderId="0" xfId="0" applyNumberFormat="1"/>
    <xf numFmtId="0" fontId="5" fillId="0" borderId="2" xfId="0" applyFont="1" applyBorder="1"/>
    <xf numFmtId="0" fontId="5" fillId="0" borderId="4" xfId="0" applyFont="1" applyBorder="1"/>
    <xf numFmtId="0" fontId="6" fillId="2" borderId="5" xfId="0" applyFont="1" applyFill="1" applyBorder="1" applyAlignment="1">
      <alignment horizontal="center"/>
    </xf>
    <xf numFmtId="0" fontId="10" fillId="0" borderId="4" xfId="0" applyFont="1" applyBorder="1"/>
    <xf numFmtId="0" fontId="5" fillId="0" borderId="5" xfId="0" applyFont="1" applyBorder="1"/>
    <xf numFmtId="0" fontId="7" fillId="0" borderId="4" xfId="0" applyFont="1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12" fillId="3" borderId="4" xfId="0" applyFont="1" applyFill="1" applyBorder="1" applyAlignment="1">
      <alignment horizontal="center"/>
    </xf>
    <xf numFmtId="0" fontId="12" fillId="3" borderId="0" xfId="0" applyFont="1" applyFill="1"/>
    <xf numFmtId="44" fontId="5" fillId="0" borderId="2" xfId="1" applyFont="1" applyBorder="1"/>
    <xf numFmtId="44" fontId="5" fillId="0" borderId="0" xfId="1" applyFont="1" applyBorder="1"/>
    <xf numFmtId="44" fontId="10" fillId="0" borderId="0" xfId="1" applyFont="1" applyBorder="1"/>
    <xf numFmtId="44" fontId="8" fillId="0" borderId="0" xfId="1" applyFont="1" applyBorder="1"/>
    <xf numFmtId="44" fontId="7" fillId="0" borderId="0" xfId="1" applyFont="1" applyBorder="1"/>
    <xf numFmtId="44" fontId="0" fillId="0" borderId="0" xfId="1" applyFont="1" applyBorder="1"/>
    <xf numFmtId="44" fontId="0" fillId="0" borderId="7" xfId="1" applyFont="1" applyBorder="1"/>
    <xf numFmtId="0" fontId="5" fillId="0" borderId="9" xfId="0" applyFont="1" applyBorder="1"/>
    <xf numFmtId="0" fontId="7" fillId="0" borderId="9" xfId="0" applyFont="1" applyBorder="1"/>
    <xf numFmtId="0" fontId="5" fillId="0" borderId="11" xfId="0" applyFont="1" applyBorder="1"/>
    <xf numFmtId="44" fontId="0" fillId="0" borderId="12" xfId="1" applyFont="1" applyBorder="1"/>
    <xf numFmtId="164" fontId="2" fillId="0" borderId="0" xfId="0" applyNumberFormat="1" applyFont="1"/>
    <xf numFmtId="164" fontId="2" fillId="0" borderId="10" xfId="0" applyNumberFormat="1" applyFont="1" applyBorder="1"/>
    <xf numFmtId="8" fontId="13" fillId="0" borderId="15" xfId="0" applyNumberFormat="1" applyFont="1" applyBorder="1"/>
    <xf numFmtId="8" fontId="10" fillId="0" borderId="16" xfId="0" applyNumberFormat="1" applyFont="1" applyBorder="1"/>
    <xf numFmtId="164" fontId="2" fillId="0" borderId="12" xfId="0" applyNumberFormat="1" applyFont="1" applyBorder="1"/>
    <xf numFmtId="164" fontId="2" fillId="0" borderId="13" xfId="0" applyNumberFormat="1" applyFont="1" applyBorder="1"/>
    <xf numFmtId="44" fontId="8" fillId="0" borderId="2" xfId="1" applyFont="1" applyBorder="1"/>
    <xf numFmtId="44" fontId="3" fillId="0" borderId="0" xfId="1" applyFont="1"/>
    <xf numFmtId="8" fontId="7" fillId="0" borderId="10" xfId="1" applyNumberFormat="1" applyFont="1" applyBorder="1"/>
    <xf numFmtId="8" fontId="7" fillId="0" borderId="13" xfId="1" applyNumberFormat="1" applyFont="1" applyBorder="1"/>
    <xf numFmtId="164" fontId="7" fillId="0" borderId="10" xfId="1" applyNumberFormat="1" applyFont="1" applyBorder="1"/>
    <xf numFmtId="164" fontId="7" fillId="0" borderId="13" xfId="1" applyNumberFormat="1" applyFont="1" applyBorder="1"/>
    <xf numFmtId="164" fontId="7" fillId="0" borderId="10" xfId="1" applyNumberFormat="1" applyFont="1" applyBorder="1" applyAlignment="1">
      <alignment horizontal="right"/>
    </xf>
    <xf numFmtId="164" fontId="7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10" xfId="0" applyNumberFormat="1" applyFont="1" applyBorder="1" applyAlignment="1">
      <alignment horizontal="right"/>
    </xf>
    <xf numFmtId="164" fontId="16" fillId="0" borderId="0" xfId="0" applyNumberFormat="1" applyFont="1" applyAlignment="1">
      <alignment horizontal="right"/>
    </xf>
    <xf numFmtId="164" fontId="17" fillId="0" borderId="0" xfId="0" applyNumberFormat="1" applyFont="1" applyAlignment="1">
      <alignment horizontal="right"/>
    </xf>
    <xf numFmtId="164" fontId="2" fillId="0" borderId="5" xfId="0" applyNumberFormat="1" applyFont="1" applyBorder="1"/>
    <xf numFmtId="164" fontId="2" fillId="0" borderId="7" xfId="0" applyNumberFormat="1" applyFont="1" applyBorder="1"/>
    <xf numFmtId="164" fontId="2" fillId="0" borderId="8" xfId="0" applyNumberFormat="1" applyFont="1" applyBorder="1"/>
    <xf numFmtId="0" fontId="5" fillId="0" borderId="9" xfId="0" applyFont="1" applyBorder="1" applyAlignment="1">
      <alignment horizontal="left" indent="2"/>
    </xf>
    <xf numFmtId="0" fontId="0" fillId="0" borderId="0" xfId="0" applyAlignment="1">
      <alignment horizontal="left" indent="2"/>
    </xf>
    <xf numFmtId="8" fontId="3" fillId="0" borderId="0" xfId="1" applyNumberFormat="1" applyFont="1"/>
    <xf numFmtId="44" fontId="10" fillId="0" borderId="0" xfId="1" applyFont="1"/>
    <xf numFmtId="44" fontId="10" fillId="0" borderId="5" xfId="1" applyFont="1" applyBorder="1"/>
    <xf numFmtId="44" fontId="5" fillId="0" borderId="0" xfId="1" applyFont="1"/>
    <xf numFmtId="44" fontId="5" fillId="0" borderId="5" xfId="1" applyFont="1" applyBorder="1"/>
    <xf numFmtId="0" fontId="5" fillId="0" borderId="4" xfId="0" applyFont="1" applyBorder="1" applyAlignment="1">
      <alignment horizontal="left" indent="3"/>
    </xf>
    <xf numFmtId="8" fontId="7" fillId="0" borderId="0" xfId="1" applyNumberFormat="1" applyFont="1" applyBorder="1"/>
    <xf numFmtId="8" fontId="18" fillId="0" borderId="10" xfId="1" applyNumberFormat="1" applyFont="1" applyBorder="1"/>
    <xf numFmtId="8" fontId="3" fillId="0" borderId="10" xfId="1" applyNumberFormat="1" applyFont="1" applyBorder="1" applyAlignment="1">
      <alignment horizontal="right"/>
    </xf>
    <xf numFmtId="165" fontId="10" fillId="0" borderId="16" xfId="0" applyNumberFormat="1" applyFont="1" applyBorder="1"/>
    <xf numFmtId="165" fontId="13" fillId="0" borderId="15" xfId="0" applyNumberFormat="1" applyFont="1" applyBorder="1"/>
    <xf numFmtId="165" fontId="5" fillId="0" borderId="0" xfId="1" applyNumberFormat="1" applyFont="1" applyBorder="1"/>
    <xf numFmtId="165" fontId="2" fillId="0" borderId="0" xfId="0" applyNumberFormat="1" applyFont="1" applyAlignment="1">
      <alignment horizontal="right"/>
    </xf>
    <xf numFmtId="165" fontId="8" fillId="0" borderId="0" xfId="1" applyNumberFormat="1" applyFont="1" applyBorder="1"/>
    <xf numFmtId="165" fontId="0" fillId="0" borderId="0" xfId="1" applyNumberFormat="1" applyFont="1" applyBorder="1"/>
    <xf numFmtId="165" fontId="0" fillId="0" borderId="12" xfId="0" applyNumberFormat="1" applyBorder="1"/>
    <xf numFmtId="165" fontId="0" fillId="0" borderId="12" xfId="1" applyNumberFormat="1" applyFont="1" applyBorder="1"/>
    <xf numFmtId="0" fontId="8" fillId="0" borderId="1" xfId="0" applyFont="1" applyBorder="1" applyAlignment="1">
      <alignment horizontal="left"/>
    </xf>
    <xf numFmtId="0" fontId="6" fillId="2" borderId="4" xfId="0" applyFont="1" applyFill="1" applyBorder="1" applyAlignment="1">
      <alignment horizontal="center"/>
    </xf>
    <xf numFmtId="165" fontId="13" fillId="0" borderId="18" xfId="0" applyNumberFormat="1" applyFont="1" applyBorder="1"/>
    <xf numFmtId="165" fontId="0" fillId="0" borderId="0" xfId="0" applyNumberFormat="1"/>
    <xf numFmtId="165" fontId="5" fillId="0" borderId="4" xfId="0" applyNumberFormat="1" applyFont="1" applyBorder="1" applyAlignment="1">
      <alignment horizontal="left" indent="3"/>
    </xf>
    <xf numFmtId="165" fontId="8" fillId="0" borderId="4" xfId="0" applyNumberFormat="1" applyFont="1" applyBorder="1" applyAlignment="1">
      <alignment horizontal="left" indent="3"/>
    </xf>
    <xf numFmtId="165" fontId="12" fillId="3" borderId="4" xfId="0" applyNumberFormat="1" applyFont="1" applyFill="1" applyBorder="1" applyAlignment="1">
      <alignment horizontal="left" indent="3"/>
    </xf>
    <xf numFmtId="165" fontId="12" fillId="3" borderId="0" xfId="0" applyNumberFormat="1" applyFont="1" applyFill="1"/>
    <xf numFmtId="165" fontId="5" fillId="0" borderId="0" xfId="0" applyNumberFormat="1" applyFont="1"/>
    <xf numFmtId="165" fontId="5" fillId="0" borderId="19" xfId="0" applyNumberFormat="1" applyFont="1" applyBorder="1" applyAlignment="1">
      <alignment horizontal="left" indent="3"/>
    </xf>
    <xf numFmtId="165" fontId="7" fillId="0" borderId="1" xfId="0" applyNumberFormat="1" applyFont="1" applyBorder="1"/>
    <xf numFmtId="165" fontId="0" fillId="0" borderId="2" xfId="0" applyNumberFormat="1" applyBorder="1"/>
    <xf numFmtId="165" fontId="7" fillId="0" borderId="2" xfId="1" applyNumberFormat="1" applyFont="1" applyBorder="1"/>
    <xf numFmtId="165" fontId="2" fillId="0" borderId="20" xfId="0" applyNumberFormat="1" applyFont="1" applyBorder="1" applyAlignment="1">
      <alignment horizontal="right"/>
    </xf>
    <xf numFmtId="165" fontId="7" fillId="0" borderId="20" xfId="1" applyNumberFormat="1" applyFont="1" applyBorder="1" applyAlignment="1">
      <alignment horizontal="right"/>
    </xf>
    <xf numFmtId="165" fontId="7" fillId="0" borderId="20" xfId="1" applyNumberFormat="1" applyFont="1" applyBorder="1"/>
    <xf numFmtId="165" fontId="7" fillId="0" borderId="21" xfId="1" applyNumberFormat="1" applyFont="1" applyBorder="1" applyAlignment="1">
      <alignment horizontal="right"/>
    </xf>
    <xf numFmtId="165" fontId="7" fillId="0" borderId="21" xfId="0" applyNumberFormat="1" applyFont="1" applyBorder="1" applyAlignment="1">
      <alignment horizontal="right"/>
    </xf>
    <xf numFmtId="165" fontId="7" fillId="0" borderId="22" xfId="0" applyNumberFormat="1" applyFont="1" applyBorder="1" applyAlignment="1">
      <alignment horizontal="right"/>
    </xf>
    <xf numFmtId="165" fontId="2" fillId="0" borderId="23" xfId="0" applyNumberFormat="1" applyFont="1" applyBorder="1" applyAlignment="1">
      <alignment horizontal="right"/>
    </xf>
    <xf numFmtId="165" fontId="2" fillId="0" borderId="24" xfId="0" applyNumberFormat="1" applyFont="1" applyBorder="1" applyAlignment="1">
      <alignment horizontal="right"/>
    </xf>
    <xf numFmtId="165" fontId="2" fillId="0" borderId="25" xfId="0" applyNumberFormat="1" applyFont="1" applyBorder="1" applyAlignment="1">
      <alignment horizontal="right"/>
    </xf>
    <xf numFmtId="165" fontId="7" fillId="0" borderId="24" xfId="1" applyNumberFormat="1" applyFont="1" applyBorder="1"/>
    <xf numFmtId="165" fontId="2" fillId="0" borderId="20" xfId="1" applyNumberFormat="1" applyFont="1" applyBorder="1" applyAlignment="1">
      <alignment horizontal="right"/>
    </xf>
    <xf numFmtId="164" fontId="7" fillId="0" borderId="0" xfId="1" applyNumberFormat="1" applyFont="1" applyBorder="1"/>
    <xf numFmtId="164" fontId="7" fillId="0" borderId="5" xfId="1" applyNumberFormat="1" applyFont="1" applyBorder="1"/>
    <xf numFmtId="164" fontId="2" fillId="0" borderId="5" xfId="0" applyNumberFormat="1" applyFont="1" applyBorder="1" applyAlignment="1">
      <alignment horizontal="right"/>
    </xf>
    <xf numFmtId="8" fontId="7" fillId="0" borderId="26" xfId="1" applyNumberFormat="1" applyFont="1" applyBorder="1"/>
    <xf numFmtId="165" fontId="2" fillId="0" borderId="27" xfId="0" applyNumberFormat="1" applyFont="1" applyBorder="1" applyAlignment="1">
      <alignment horizontal="right"/>
    </xf>
    <xf numFmtId="165" fontId="2" fillId="0" borderId="28" xfId="0" applyNumberFormat="1" applyFont="1" applyBorder="1" applyAlignment="1">
      <alignment horizontal="right"/>
    </xf>
    <xf numFmtId="165" fontId="7" fillId="0" borderId="29" xfId="1" applyNumberFormat="1" applyFont="1" applyBorder="1" applyAlignment="1">
      <alignment horizontal="right"/>
    </xf>
    <xf numFmtId="165" fontId="7" fillId="0" borderId="30" xfId="0" applyNumberFormat="1" applyFont="1" applyBorder="1" applyAlignment="1">
      <alignment horizontal="right"/>
    </xf>
    <xf numFmtId="165" fontId="7" fillId="0" borderId="31" xfId="0" applyNumberFormat="1" applyFont="1" applyBorder="1" applyAlignment="1">
      <alignment horizontal="right"/>
    </xf>
    <xf numFmtId="165" fontId="7" fillId="0" borderId="32" xfId="1" applyNumberFormat="1" applyFont="1" applyBorder="1" applyAlignment="1">
      <alignment horizontal="right"/>
    </xf>
    <xf numFmtId="165" fontId="7" fillId="0" borderId="33" xfId="1" applyNumberFormat="1" applyFont="1" applyBorder="1" applyAlignment="1">
      <alignment horizontal="right"/>
    </xf>
    <xf numFmtId="165" fontId="7" fillId="0" borderId="33" xfId="1" applyNumberFormat="1" applyFont="1" applyBorder="1"/>
    <xf numFmtId="165" fontId="7" fillId="0" borderId="34" xfId="1" applyNumberFormat="1" applyFont="1" applyBorder="1"/>
    <xf numFmtId="2" fontId="0" fillId="0" borderId="0" xfId="0" applyNumberFormat="1"/>
    <xf numFmtId="1" fontId="0" fillId="0" borderId="0" xfId="0" applyNumberFormat="1"/>
    <xf numFmtId="1" fontId="0" fillId="0" borderId="20" xfId="0" applyNumberFormat="1" applyBorder="1"/>
    <xf numFmtId="164" fontId="2" fillId="0" borderId="20" xfId="0" applyNumberFormat="1" applyFont="1" applyBorder="1"/>
    <xf numFmtId="16" fontId="0" fillId="0" borderId="20" xfId="0" applyNumberFormat="1" applyBorder="1"/>
    <xf numFmtId="0" fontId="0" fillId="0" borderId="20" xfId="0" applyBorder="1"/>
    <xf numFmtId="0" fontId="0" fillId="0" borderId="35" xfId="0" applyBorder="1"/>
    <xf numFmtId="1" fontId="6" fillId="2" borderId="20" xfId="0" applyNumberFormat="1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/>
    </xf>
    <xf numFmtId="164" fontId="2" fillId="0" borderId="35" xfId="0" applyNumberFormat="1" applyFont="1" applyBorder="1"/>
    <xf numFmtId="1" fontId="6" fillId="2" borderId="27" xfId="0" applyNumberFormat="1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1" fontId="0" fillId="0" borderId="36" xfId="0" applyNumberFormat="1" applyBorder="1"/>
    <xf numFmtId="164" fontId="2" fillId="0" borderId="36" xfId="0" applyNumberFormat="1" applyFont="1" applyBorder="1"/>
    <xf numFmtId="16" fontId="0" fillId="0" borderId="36" xfId="0" applyNumberFormat="1" applyBorder="1"/>
    <xf numFmtId="0" fontId="0" fillId="0" borderId="36" xfId="0" applyBorder="1"/>
    <xf numFmtId="1" fontId="21" fillId="4" borderId="20" xfId="0" applyNumberFormat="1" applyFont="1" applyFill="1" applyBorder="1"/>
    <xf numFmtId="164" fontId="21" fillId="4" borderId="20" xfId="0" applyNumberFormat="1" applyFont="1" applyFill="1" applyBorder="1"/>
    <xf numFmtId="0" fontId="21" fillId="4" borderId="20" xfId="0" applyFont="1" applyFill="1" applyBorder="1"/>
    <xf numFmtId="16" fontId="21" fillId="4" borderId="20" xfId="0" applyNumberFormat="1" applyFont="1" applyFill="1" applyBorder="1"/>
    <xf numFmtId="0" fontId="5" fillId="0" borderId="4" xfId="0" applyFont="1" applyBorder="1" applyAlignment="1">
      <alignment horizontal="left" indent="2"/>
    </xf>
    <xf numFmtId="0" fontId="5" fillId="0" borderId="39" xfId="0" applyFont="1" applyBorder="1" applyAlignment="1">
      <alignment horizontal="left" indent="2"/>
    </xf>
    <xf numFmtId="0" fontId="0" fillId="0" borderId="4" xfId="0" applyBorder="1" applyAlignment="1">
      <alignment horizontal="left" indent="2"/>
    </xf>
    <xf numFmtId="0" fontId="0" fillId="0" borderId="6" xfId="0" applyBorder="1" applyAlignment="1">
      <alignment horizontal="left" indent="2"/>
    </xf>
    <xf numFmtId="0" fontId="8" fillId="5" borderId="1" xfId="0" applyFont="1" applyFill="1" applyBorder="1"/>
    <xf numFmtId="0" fontId="5" fillId="0" borderId="6" xfId="0" applyFont="1" applyBorder="1" applyAlignment="1">
      <alignment horizontal="left" indent="2"/>
    </xf>
    <xf numFmtId="2" fontId="0" fillId="0" borderId="7" xfId="0" applyNumberFormat="1" applyBorder="1"/>
    <xf numFmtId="166" fontId="3" fillId="0" borderId="0" xfId="1" applyNumberFormat="1" applyFont="1" applyBorder="1"/>
    <xf numFmtId="166" fontId="5" fillId="0" borderId="0" xfId="0" applyNumberFormat="1" applyFont="1"/>
    <xf numFmtId="166" fontId="5" fillId="0" borderId="0" xfId="1" applyNumberFormat="1" applyFont="1" applyBorder="1"/>
    <xf numFmtId="166" fontId="7" fillId="0" borderId="0" xfId="1" applyNumberFormat="1" applyFont="1" applyBorder="1"/>
    <xf numFmtId="166" fontId="7" fillId="0" borderId="4" xfId="1" applyNumberFormat="1" applyFont="1" applyBorder="1"/>
    <xf numFmtId="166" fontId="7" fillId="0" borderId="5" xfId="1" applyNumberFormat="1" applyFont="1" applyBorder="1"/>
    <xf numFmtId="166" fontId="2" fillId="0" borderId="4" xfId="0" applyNumberFormat="1" applyFont="1" applyBorder="1"/>
    <xf numFmtId="166" fontId="2" fillId="0" borderId="0" xfId="0" applyNumberFormat="1" applyFont="1"/>
    <xf numFmtId="166" fontId="2" fillId="0" borderId="5" xfId="0" applyNumberFormat="1" applyFont="1" applyBorder="1"/>
    <xf numFmtId="166" fontId="5" fillId="0" borderId="0" xfId="0" applyNumberFormat="1" applyFont="1" applyAlignment="1">
      <alignment horizontal="left" indent="2"/>
    </xf>
    <xf numFmtId="166" fontId="7" fillId="0" borderId="0" xfId="1" applyNumberFormat="1" applyFont="1" applyBorder="1" applyAlignment="1"/>
    <xf numFmtId="166" fontId="2" fillId="0" borderId="0" xfId="1" applyNumberFormat="1" applyFont="1" applyBorder="1"/>
    <xf numFmtId="166" fontId="5" fillId="0" borderId="38" xfId="0" applyNumberFormat="1" applyFont="1" applyBorder="1" applyAlignment="1">
      <alignment horizontal="left" indent="2"/>
    </xf>
    <xf numFmtId="166" fontId="7" fillId="0" borderId="38" xfId="1" applyNumberFormat="1" applyFont="1" applyBorder="1" applyAlignment="1"/>
    <xf numFmtId="166" fontId="2" fillId="0" borderId="38" xfId="1" applyNumberFormat="1" applyFont="1" applyBorder="1"/>
    <xf numFmtId="166" fontId="2" fillId="0" borderId="38" xfId="0" applyNumberFormat="1" applyFont="1" applyBorder="1"/>
    <xf numFmtId="166" fontId="2" fillId="0" borderId="40" xfId="0" applyNumberFormat="1" applyFont="1" applyBorder="1"/>
    <xf numFmtId="166" fontId="7" fillId="0" borderId="0" xfId="0" applyNumberFormat="1" applyFont="1"/>
    <xf numFmtId="166" fontId="7" fillId="5" borderId="2" xfId="1" applyNumberFormat="1" applyFont="1" applyFill="1" applyBorder="1"/>
    <xf numFmtId="166" fontId="8" fillId="5" borderId="2" xfId="1" applyNumberFormat="1" applyFont="1" applyFill="1" applyBorder="1"/>
    <xf numFmtId="166" fontId="0" fillId="5" borderId="2" xfId="1" applyNumberFormat="1" applyFont="1" applyFill="1" applyBorder="1"/>
    <xf numFmtId="166" fontId="2" fillId="5" borderId="1" xfId="0" applyNumberFormat="1" applyFont="1" applyFill="1" applyBorder="1"/>
    <xf numFmtId="166" fontId="2" fillId="5" borderId="2" xfId="0" applyNumberFormat="1" applyFont="1" applyFill="1" applyBorder="1"/>
    <xf numFmtId="166" fontId="2" fillId="5" borderId="3" xfId="0" applyNumberFormat="1" applyFont="1" applyFill="1" applyBorder="1"/>
    <xf numFmtId="166" fontId="5" fillId="0" borderId="7" xfId="0" applyNumberFormat="1" applyFont="1" applyBorder="1" applyAlignment="1">
      <alignment horizontal="left" indent="2"/>
    </xf>
    <xf numFmtId="166" fontId="5" fillId="0" borderId="7" xfId="1" applyNumberFormat="1" applyFont="1" applyBorder="1"/>
    <xf numFmtId="166" fontId="7" fillId="0" borderId="7" xfId="1" applyNumberFormat="1" applyFont="1" applyBorder="1"/>
    <xf numFmtId="166" fontId="2" fillId="0" borderId="6" xfId="0" applyNumberFormat="1" applyFont="1" applyBorder="1"/>
    <xf numFmtId="166" fontId="2" fillId="0" borderId="7" xfId="0" applyNumberFormat="1" applyFont="1" applyBorder="1"/>
    <xf numFmtId="166" fontId="2" fillId="0" borderId="8" xfId="0" applyNumberFormat="1" applyFont="1" applyBorder="1"/>
    <xf numFmtId="166" fontId="7" fillId="5" borderId="1" xfId="0" applyNumberFormat="1" applyFont="1" applyFill="1" applyBorder="1"/>
    <xf numFmtId="166" fontId="7" fillId="5" borderId="2" xfId="0" applyNumberFormat="1" applyFont="1" applyFill="1" applyBorder="1"/>
    <xf numFmtId="166" fontId="7" fillId="5" borderId="3" xfId="0" applyNumberFormat="1" applyFont="1" applyFill="1" applyBorder="1"/>
    <xf numFmtId="166" fontId="5" fillId="0" borderId="7" xfId="0" applyNumberFormat="1" applyFont="1" applyBorder="1"/>
    <xf numFmtId="166" fontId="12" fillId="3" borderId="0" xfId="0" applyNumberFormat="1" applyFont="1" applyFill="1" applyAlignment="1">
      <alignment horizontal="center"/>
    </xf>
    <xf numFmtId="166" fontId="5" fillId="5" borderId="2" xfId="1" applyNumberFormat="1" applyFont="1" applyFill="1" applyBorder="1"/>
    <xf numFmtId="166" fontId="2" fillId="0" borderId="7" xfId="1" applyNumberFormat="1" applyFont="1" applyBorder="1"/>
    <xf numFmtId="2" fontId="5" fillId="0" borderId="0" xfId="0" applyNumberFormat="1" applyFont="1"/>
    <xf numFmtId="2" fontId="22" fillId="6" borderId="37" xfId="0" applyNumberFormat="1" applyFont="1" applyFill="1" applyBorder="1" applyAlignment="1">
      <alignment horizontal="center" wrapText="1"/>
    </xf>
    <xf numFmtId="2" fontId="12" fillId="3" borderId="0" xfId="0" applyNumberFormat="1" applyFont="1" applyFill="1"/>
    <xf numFmtId="2" fontId="12" fillId="3" borderId="38" xfId="0" applyNumberFormat="1" applyFont="1" applyFill="1" applyBorder="1"/>
    <xf numFmtId="166" fontId="2" fillId="5" borderId="0" xfId="0" applyNumberFormat="1" applyFont="1" applyFill="1"/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166" fontId="2" fillId="5" borderId="4" xfId="0" applyNumberFormat="1" applyFont="1" applyFill="1" applyBorder="1"/>
    <xf numFmtId="166" fontId="2" fillId="5" borderId="5" xfId="0" applyNumberFormat="1" applyFont="1" applyFill="1" applyBorder="1"/>
    <xf numFmtId="166" fontId="2" fillId="0" borderId="39" xfId="0" applyNumberFormat="1" applyFont="1" applyBorder="1"/>
    <xf numFmtId="166" fontId="5" fillId="0" borderId="0" xfId="0" applyNumberFormat="1" applyFont="1" applyAlignment="1">
      <alignment horizontal="right" indent="2"/>
    </xf>
    <xf numFmtId="166" fontId="5" fillId="0" borderId="7" xfId="0" applyNumberFormat="1" applyFont="1" applyBorder="1" applyAlignment="1">
      <alignment horizontal="right" indent="2"/>
    </xf>
    <xf numFmtId="165" fontId="5" fillId="7" borderId="4" xfId="0" applyNumberFormat="1" applyFont="1" applyFill="1" applyBorder="1" applyAlignment="1">
      <alignment horizontal="left" indent="3"/>
    </xf>
    <xf numFmtId="0" fontId="23" fillId="2" borderId="1" xfId="0" applyFont="1" applyFill="1" applyBorder="1" applyAlignment="1">
      <alignment horizontal="center"/>
    </xf>
    <xf numFmtId="164" fontId="12" fillId="3" borderId="0" xfId="0" applyNumberFormat="1" applyFont="1" applyFill="1"/>
    <xf numFmtId="164" fontId="2" fillId="0" borderId="0" xfId="1" applyNumberFormat="1" applyFont="1" applyBorder="1"/>
    <xf numFmtId="165" fontId="7" fillId="0" borderId="0" xfId="1" applyNumberFormat="1" applyFont="1" applyBorder="1"/>
    <xf numFmtId="165" fontId="7" fillId="0" borderId="41" xfId="1" applyNumberFormat="1" applyFont="1" applyBorder="1" applyAlignment="1">
      <alignment horizontal="right"/>
    </xf>
    <xf numFmtId="165" fontId="7" fillId="0" borderId="35" xfId="0" applyNumberFormat="1" applyFont="1" applyBorder="1" applyAlignment="1">
      <alignment horizontal="right"/>
    </xf>
    <xf numFmtId="165" fontId="2" fillId="0" borderId="42" xfId="0" applyNumberFormat="1" applyFont="1" applyBorder="1" applyAlignment="1">
      <alignment horizontal="right"/>
    </xf>
    <xf numFmtId="164" fontId="7" fillId="0" borderId="2" xfId="1" applyNumberFormat="1" applyFont="1" applyBorder="1"/>
    <xf numFmtId="165" fontId="10" fillId="0" borderId="17" xfId="0" applyNumberFormat="1" applyFont="1" applyBorder="1"/>
    <xf numFmtId="165" fontId="10" fillId="0" borderId="15" xfId="0" applyNumberFormat="1" applyFont="1" applyBorder="1"/>
    <xf numFmtId="164" fontId="10" fillId="0" borderId="15" xfId="0" applyNumberFormat="1" applyFont="1" applyBorder="1"/>
    <xf numFmtId="165" fontId="5" fillId="7" borderId="0" xfId="1" applyNumberFormat="1" applyFont="1" applyFill="1" applyBorder="1"/>
    <xf numFmtId="165" fontId="5" fillId="0" borderId="4" xfId="0" applyNumberFormat="1" applyFont="1" applyBorder="1" applyAlignment="1">
      <alignment horizontal="left" indent="8"/>
    </xf>
    <xf numFmtId="165" fontId="5" fillId="0" borderId="0" xfId="1" applyNumberFormat="1" applyFont="1" applyFill="1" applyBorder="1"/>
    <xf numFmtId="165" fontId="0" fillId="7" borderId="0" xfId="0" applyNumberFormat="1" applyFill="1"/>
    <xf numFmtId="165" fontId="2" fillId="0" borderId="43" xfId="1" applyNumberFormat="1" applyFont="1" applyBorder="1" applyAlignment="1">
      <alignment horizontal="right"/>
    </xf>
    <xf numFmtId="165" fontId="2" fillId="0" borderId="44" xfId="0" applyNumberFormat="1" applyFont="1" applyBorder="1" applyAlignment="1">
      <alignment horizontal="right"/>
    </xf>
    <xf numFmtId="165" fontId="7" fillId="0" borderId="45" xfId="1" applyNumberFormat="1" applyFont="1" applyBorder="1" applyAlignment="1">
      <alignment horizontal="right"/>
    </xf>
    <xf numFmtId="165" fontId="2" fillId="0" borderId="46" xfId="1" applyNumberFormat="1" applyFont="1" applyBorder="1" applyAlignment="1">
      <alignment horizontal="right"/>
    </xf>
    <xf numFmtId="165" fontId="2" fillId="0" borderId="47" xfId="0" applyNumberFormat="1" applyFont="1" applyBorder="1" applyAlignment="1">
      <alignment horizontal="right"/>
    </xf>
    <xf numFmtId="165" fontId="2" fillId="0" borderId="36" xfId="0" applyNumberFormat="1" applyFont="1" applyBorder="1" applyAlignment="1">
      <alignment horizontal="right"/>
    </xf>
    <xf numFmtId="164" fontId="7" fillId="0" borderId="2" xfId="0" applyNumberFormat="1" applyFont="1" applyBorder="1"/>
    <xf numFmtId="0" fontId="24" fillId="0" borderId="0" xfId="0" applyFont="1"/>
    <xf numFmtId="165" fontId="2" fillId="0" borderId="35" xfId="0" applyNumberFormat="1" applyFont="1" applyBorder="1" applyAlignment="1">
      <alignment horizontal="right"/>
    </xf>
    <xf numFmtId="165" fontId="2" fillId="0" borderId="48" xfId="0" applyNumberFormat="1" applyFont="1" applyBorder="1" applyAlignment="1">
      <alignment horizontal="right"/>
    </xf>
    <xf numFmtId="16" fontId="0" fillId="0" borderId="0" xfId="0" applyNumberFormat="1"/>
    <xf numFmtId="0" fontId="23" fillId="2" borderId="50" xfId="0" applyFont="1" applyFill="1" applyBorder="1" applyAlignment="1">
      <alignment horizontal="center"/>
    </xf>
    <xf numFmtId="0" fontId="6" fillId="2" borderId="51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8" borderId="0" xfId="0" applyFill="1"/>
    <xf numFmtId="1" fontId="6" fillId="2" borderId="44" xfId="0" applyNumberFormat="1" applyFont="1" applyFill="1" applyBorder="1" applyAlignment="1">
      <alignment horizontal="center"/>
    </xf>
    <xf numFmtId="1" fontId="0" fillId="0" borderId="44" xfId="0" applyNumberFormat="1" applyBorder="1"/>
    <xf numFmtId="1" fontId="21" fillId="4" borderId="44" xfId="0" applyNumberFormat="1" applyFont="1" applyFill="1" applyBorder="1"/>
    <xf numFmtId="0" fontId="6" fillId="2" borderId="43" xfId="0" applyFont="1" applyFill="1" applyBorder="1" applyAlignment="1">
      <alignment horizontal="center"/>
    </xf>
    <xf numFmtId="0" fontId="0" fillId="0" borderId="43" xfId="0" applyBorder="1"/>
    <xf numFmtId="164" fontId="0" fillId="0" borderId="43" xfId="1" applyNumberFormat="1" applyFont="1" applyBorder="1"/>
    <xf numFmtId="164" fontId="0" fillId="0" borderId="43" xfId="0" applyNumberFormat="1" applyBorder="1"/>
    <xf numFmtId="164" fontId="2" fillId="0" borderId="43" xfId="1" applyNumberFormat="1" applyFont="1" applyBorder="1"/>
    <xf numFmtId="164" fontId="4" fillId="0" borderId="43" xfId="1" applyNumberFormat="1" applyFont="1" applyBorder="1"/>
    <xf numFmtId="44" fontId="0" fillId="0" borderId="43" xfId="1" applyFont="1" applyBorder="1"/>
    <xf numFmtId="0" fontId="0" fillId="0" borderId="52" xfId="0" applyBorder="1"/>
    <xf numFmtId="0" fontId="0" fillId="0" borderId="52" xfId="0" applyBorder="1" applyAlignment="1">
      <alignment horizontal="left" indent="1"/>
    </xf>
    <xf numFmtId="0" fontId="0" fillId="0" borderId="52" xfId="0" applyBorder="1" applyAlignment="1">
      <alignment indent="1"/>
    </xf>
    <xf numFmtId="0" fontId="0" fillId="0" borderId="53" xfId="0" applyBorder="1"/>
    <xf numFmtId="0" fontId="0" fillId="0" borderId="54" xfId="0" applyBorder="1"/>
    <xf numFmtId="0" fontId="0" fillId="9" borderId="0" xfId="0" applyFill="1"/>
    <xf numFmtId="9" fontId="0" fillId="0" borderId="0" xfId="2" applyFont="1" applyBorder="1"/>
    <xf numFmtId="44" fontId="5" fillId="0" borderId="43" xfId="1" applyFont="1" applyBorder="1"/>
    <xf numFmtId="164" fontId="2" fillId="0" borderId="43" xfId="0" applyNumberFormat="1" applyFont="1" applyBorder="1"/>
    <xf numFmtId="164" fontId="2" fillId="0" borderId="43" xfId="0" applyNumberFormat="1" applyFont="1" applyBorder="1" applyAlignment="1">
      <alignment horizontal="right"/>
    </xf>
    <xf numFmtId="164" fontId="7" fillId="0" borderId="0" xfId="1" applyNumberFormat="1" applyFont="1" applyBorder="1" applyAlignment="1">
      <alignment horizontal="right"/>
    </xf>
    <xf numFmtId="167" fontId="12" fillId="3" borderId="0" xfId="0" applyNumberFormat="1" applyFont="1" applyFill="1"/>
    <xf numFmtId="0" fontId="25" fillId="10" borderId="0" xfId="0" applyFont="1" applyFill="1" applyAlignment="1">
      <alignment horizontal="center"/>
    </xf>
    <xf numFmtId="2" fontId="24" fillId="0" borderId="0" xfId="0" applyNumberFormat="1" applyFont="1"/>
    <xf numFmtId="166" fontId="28" fillId="0" borderId="0" xfId="0" applyNumberFormat="1" applyFont="1"/>
    <xf numFmtId="0" fontId="25" fillId="11" borderId="2" xfId="0" applyFont="1" applyFill="1" applyBorder="1"/>
    <xf numFmtId="0" fontId="0" fillId="0" borderId="52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60" xfId="0" applyBorder="1"/>
    <xf numFmtId="0" fontId="0" fillId="0" borderId="61" xfId="0" applyBorder="1"/>
    <xf numFmtId="164" fontId="0" fillId="0" borderId="61" xfId="0" applyNumberFormat="1" applyBorder="1"/>
    <xf numFmtId="164" fontId="0" fillId="0" borderId="61" xfId="1" applyNumberFormat="1" applyFont="1" applyBorder="1"/>
    <xf numFmtId="0" fontId="0" fillId="0" borderId="56" xfId="0" applyBorder="1"/>
    <xf numFmtId="164" fontId="0" fillId="0" borderId="56" xfId="0" applyNumberFormat="1" applyBorder="1"/>
    <xf numFmtId="164" fontId="0" fillId="0" borderId="56" xfId="1" applyNumberFormat="1" applyFont="1" applyBorder="1"/>
    <xf numFmtId="164" fontId="0" fillId="0" borderId="57" xfId="1" applyNumberFormat="1" applyFont="1" applyBorder="1"/>
    <xf numFmtId="0" fontId="30" fillId="0" borderId="52" xfId="0" applyFont="1" applyBorder="1" applyAlignment="1">
      <alignment horizontal="left" indent="1"/>
    </xf>
    <xf numFmtId="0" fontId="30" fillId="12" borderId="43" xfId="0" applyFont="1" applyFill="1" applyBorder="1"/>
    <xf numFmtId="164" fontId="30" fillId="12" borderId="43" xfId="0" applyNumberFormat="1" applyFont="1" applyFill="1" applyBorder="1"/>
    <xf numFmtId="164" fontId="30" fillId="12" borderId="43" xfId="1" applyNumberFormat="1" applyFont="1" applyFill="1" applyBorder="1"/>
    <xf numFmtId="0" fontId="6" fillId="2" borderId="50" xfId="0" applyFont="1" applyFill="1" applyBorder="1" applyAlignment="1">
      <alignment horizontal="center"/>
    </xf>
    <xf numFmtId="0" fontId="0" fillId="11" borderId="0" xfId="0" applyFill="1"/>
    <xf numFmtId="0" fontId="25" fillId="11" borderId="0" xfId="0" applyFont="1" applyFill="1" applyAlignment="1">
      <alignment horizontal="center"/>
    </xf>
    <xf numFmtId="0" fontId="25" fillId="11" borderId="1" xfId="0" applyFont="1" applyFill="1" applyBorder="1" applyAlignment="1">
      <alignment horizontal="center"/>
    </xf>
    <xf numFmtId="0" fontId="31" fillId="11" borderId="2" xfId="0" applyFont="1" applyFill="1" applyBorder="1" applyAlignment="1">
      <alignment horizontal="left"/>
    </xf>
    <xf numFmtId="0" fontId="0" fillId="0" borderId="58" xfId="0" applyBorder="1"/>
    <xf numFmtId="0" fontId="0" fillId="0" borderId="66" xfId="0" applyBorder="1"/>
    <xf numFmtId="0" fontId="0" fillId="0" borderId="67" xfId="0" applyBorder="1"/>
    <xf numFmtId="0" fontId="0" fillId="0" borderId="68" xfId="0" applyBorder="1"/>
    <xf numFmtId="0" fontId="0" fillId="0" borderId="69" xfId="0" applyBorder="1"/>
    <xf numFmtId="0" fontId="0" fillId="0" borderId="70" xfId="0" applyBorder="1"/>
    <xf numFmtId="0" fontId="5" fillId="0" borderId="0" xfId="0" applyFont="1" applyAlignment="1">
      <alignment horizontal="left" indent="3"/>
    </xf>
    <xf numFmtId="0" fontId="5" fillId="0" borderId="20" xfId="0" applyFont="1" applyBorder="1" applyAlignment="1">
      <alignment horizontal="left" indent="2"/>
    </xf>
    <xf numFmtId="166" fontId="7" fillId="0" borderId="20" xfId="1" applyNumberFormat="1" applyFont="1" applyBorder="1" applyAlignment="1"/>
    <xf numFmtId="2" fontId="12" fillId="3" borderId="20" xfId="0" applyNumberFormat="1" applyFont="1" applyFill="1" applyBorder="1"/>
    <xf numFmtId="164" fontId="7" fillId="0" borderId="20" xfId="1" applyNumberFormat="1" applyFont="1" applyBorder="1" applyAlignment="1">
      <alignment horizontal="right"/>
    </xf>
    <xf numFmtId="0" fontId="5" fillId="0" borderId="20" xfId="0" applyFont="1" applyBorder="1"/>
    <xf numFmtId="8" fontId="5" fillId="0" borderId="20" xfId="0" applyNumberFormat="1" applyFont="1" applyBorder="1"/>
    <xf numFmtId="164" fontId="2" fillId="0" borderId="20" xfId="0" applyNumberFormat="1" applyFont="1" applyBorder="1" applyAlignment="1">
      <alignment horizontal="right"/>
    </xf>
    <xf numFmtId="164" fontId="2" fillId="9" borderId="20" xfId="0" applyNumberFormat="1" applyFont="1" applyFill="1" applyBorder="1" applyAlignment="1">
      <alignment horizontal="right"/>
    </xf>
    <xf numFmtId="0" fontId="5" fillId="0" borderId="33" xfId="0" applyFont="1" applyBorder="1" applyAlignment="1">
      <alignment horizontal="left" indent="2"/>
    </xf>
    <xf numFmtId="8" fontId="5" fillId="0" borderId="23" xfId="0" applyNumberFormat="1" applyFont="1" applyBorder="1"/>
    <xf numFmtId="164" fontId="2" fillId="0" borderId="23" xfId="0" applyNumberFormat="1" applyFont="1" applyBorder="1" applyAlignment="1">
      <alignment horizontal="right"/>
    </xf>
    <xf numFmtId="0" fontId="5" fillId="0" borderId="34" xfId="0" applyFont="1" applyBorder="1" applyAlignment="1">
      <alignment horizontal="left" indent="2"/>
    </xf>
    <xf numFmtId="2" fontId="12" fillId="3" borderId="24" xfId="0" applyNumberFormat="1" applyFont="1" applyFill="1" applyBorder="1"/>
    <xf numFmtId="164" fontId="7" fillId="0" borderId="24" xfId="1" applyNumberFormat="1" applyFont="1" applyBorder="1" applyAlignment="1">
      <alignment horizontal="right"/>
    </xf>
    <xf numFmtId="164" fontId="2" fillId="0" borderId="24" xfId="0" applyNumberFormat="1" applyFont="1" applyBorder="1" applyAlignment="1">
      <alignment horizontal="right"/>
    </xf>
    <xf numFmtId="164" fontId="2" fillId="0" borderId="25" xfId="0" applyNumberFormat="1" applyFont="1" applyBorder="1" applyAlignment="1">
      <alignment horizontal="right"/>
    </xf>
    <xf numFmtId="0" fontId="3" fillId="5" borderId="20" xfId="0" applyFont="1" applyFill="1" applyBorder="1"/>
    <xf numFmtId="166" fontId="8" fillId="5" borderId="20" xfId="1" applyNumberFormat="1" applyFont="1" applyFill="1" applyBorder="1"/>
    <xf numFmtId="2" fontId="22" fillId="6" borderId="20" xfId="0" applyNumberFormat="1" applyFont="1" applyFill="1" applyBorder="1" applyAlignment="1">
      <alignment horizontal="center" wrapText="1"/>
    </xf>
    <xf numFmtId="166" fontId="2" fillId="5" borderId="20" xfId="0" applyNumberFormat="1" applyFont="1" applyFill="1" applyBorder="1"/>
    <xf numFmtId="166" fontId="5" fillId="0" borderId="20" xfId="0" applyNumberFormat="1" applyFont="1" applyBorder="1" applyAlignment="1">
      <alignment horizontal="left" indent="2"/>
    </xf>
    <xf numFmtId="166" fontId="2" fillId="0" borderId="20" xfId="1" applyNumberFormat="1" applyFont="1" applyBorder="1"/>
    <xf numFmtId="166" fontId="2" fillId="0" borderId="20" xfId="0" applyNumberFormat="1" applyFont="1" applyBorder="1"/>
    <xf numFmtId="0" fontId="0" fillId="0" borderId="20" xfId="0" applyBorder="1" applyAlignment="1">
      <alignment horizontal="left" indent="2"/>
    </xf>
    <xf numFmtId="166" fontId="5" fillId="0" borderId="20" xfId="0" applyNumberFormat="1" applyFont="1" applyBorder="1"/>
    <xf numFmtId="166" fontId="5" fillId="0" borderId="20" xfId="1" applyNumberFormat="1" applyFont="1" applyBorder="1"/>
    <xf numFmtId="166" fontId="7" fillId="0" borderId="20" xfId="1" applyNumberFormat="1" applyFont="1" applyBorder="1"/>
    <xf numFmtId="2" fontId="5" fillId="0" borderId="20" xfId="0" applyNumberFormat="1" applyFont="1" applyBorder="1"/>
    <xf numFmtId="0" fontId="23" fillId="2" borderId="46" xfId="0" applyFont="1" applyFill="1" applyBorder="1" applyAlignment="1">
      <alignment horizontal="center"/>
    </xf>
    <xf numFmtId="0" fontId="6" fillId="2" borderId="72" xfId="0" applyFont="1" applyFill="1" applyBorder="1" applyAlignment="1">
      <alignment horizontal="center"/>
    </xf>
    <xf numFmtId="0" fontId="6" fillId="2" borderId="46" xfId="0" applyFont="1" applyFill="1" applyBorder="1" applyAlignment="1">
      <alignment horizontal="center"/>
    </xf>
    <xf numFmtId="0" fontId="6" fillId="2" borderId="59" xfId="0" applyFont="1" applyFill="1" applyBorder="1" applyAlignment="1">
      <alignment horizontal="center"/>
    </xf>
    <xf numFmtId="44" fontId="0" fillId="0" borderId="20" xfId="1" applyFont="1" applyBorder="1"/>
    <xf numFmtId="44" fontId="3" fillId="0" borderId="20" xfId="1" applyFont="1" applyBorder="1"/>
    <xf numFmtId="0" fontId="3" fillId="5" borderId="71" xfId="0" applyFont="1" applyFill="1" applyBorder="1"/>
    <xf numFmtId="2" fontId="22" fillId="6" borderId="21" xfId="0" applyNumberFormat="1" applyFont="1" applyFill="1" applyBorder="1" applyAlignment="1">
      <alignment horizontal="center" wrapText="1"/>
    </xf>
    <xf numFmtId="166" fontId="2" fillId="5" borderId="21" xfId="0" applyNumberFormat="1" applyFont="1" applyFill="1" applyBorder="1"/>
    <xf numFmtId="166" fontId="2" fillId="5" borderId="22" xfId="0" applyNumberFormat="1" applyFont="1" applyFill="1" applyBorder="1"/>
    <xf numFmtId="166" fontId="2" fillId="0" borderId="23" xfId="0" applyNumberFormat="1" applyFont="1" applyBorder="1"/>
    <xf numFmtId="0" fontId="0" fillId="0" borderId="33" xfId="0" applyBorder="1" applyAlignment="1">
      <alignment horizontal="left" indent="2"/>
    </xf>
    <xf numFmtId="0" fontId="0" fillId="0" borderId="23" xfId="0" applyBorder="1"/>
    <xf numFmtId="166" fontId="7" fillId="0" borderId="36" xfId="1" applyNumberFormat="1" applyFont="1" applyBorder="1" applyAlignment="1"/>
    <xf numFmtId="2" fontId="12" fillId="3" borderId="36" xfId="0" applyNumberFormat="1" applyFont="1" applyFill="1" applyBorder="1"/>
    <xf numFmtId="164" fontId="7" fillId="0" borderId="36" xfId="1" applyNumberFormat="1" applyFont="1" applyBorder="1" applyAlignment="1">
      <alignment horizontal="right"/>
    </xf>
    <xf numFmtId="164" fontId="2" fillId="0" borderId="36" xfId="0" applyNumberFormat="1" applyFont="1" applyBorder="1" applyAlignment="1">
      <alignment horizontal="right"/>
    </xf>
    <xf numFmtId="0" fontId="0" fillId="13" borderId="0" xfId="0" applyFill="1"/>
    <xf numFmtId="0" fontId="25" fillId="11" borderId="2" xfId="0" applyFont="1" applyFill="1" applyBorder="1" applyAlignment="1">
      <alignment horizontal="left"/>
    </xf>
    <xf numFmtId="0" fontId="31" fillId="11" borderId="0" xfId="0" applyFont="1" applyFill="1" applyAlignment="1">
      <alignment horizontal="left"/>
    </xf>
    <xf numFmtId="0" fontId="5" fillId="0" borderId="73" xfId="0" applyFont="1" applyBorder="1" applyAlignment="1">
      <alignment horizontal="left" indent="2"/>
    </xf>
    <xf numFmtId="164" fontId="2" fillId="0" borderId="74" xfId="0" applyNumberFormat="1" applyFont="1" applyBorder="1" applyAlignment="1">
      <alignment horizontal="right"/>
    </xf>
    <xf numFmtId="44" fontId="5" fillId="0" borderId="20" xfId="1" applyFont="1" applyBorder="1"/>
    <xf numFmtId="166" fontId="2" fillId="0" borderId="36" xfId="1" applyNumberFormat="1" applyFont="1" applyBorder="1"/>
    <xf numFmtId="0" fontId="0" fillId="0" borderId="74" xfId="0" applyBorder="1"/>
    <xf numFmtId="166" fontId="3" fillId="0" borderId="20" xfId="1" applyNumberFormat="1" applyFont="1" applyBorder="1"/>
    <xf numFmtId="0" fontId="0" fillId="0" borderId="73" xfId="0" applyBorder="1" applyAlignment="1">
      <alignment horizontal="left" indent="2"/>
    </xf>
    <xf numFmtId="166" fontId="7" fillId="0" borderId="20" xfId="0" applyNumberFormat="1" applyFont="1" applyBorder="1"/>
    <xf numFmtId="0" fontId="3" fillId="5" borderId="32" xfId="0" applyFont="1" applyFill="1" applyBorder="1"/>
    <xf numFmtId="2" fontId="22" fillId="6" borderId="27" xfId="0" applyNumberFormat="1" applyFont="1" applyFill="1" applyBorder="1" applyAlignment="1">
      <alignment horizontal="center" wrapText="1"/>
    </xf>
    <xf numFmtId="0" fontId="3" fillId="5" borderId="4" xfId="0" applyFont="1" applyFill="1" applyBorder="1"/>
    <xf numFmtId="166" fontId="8" fillId="5" borderId="0" xfId="1" applyNumberFormat="1" applyFont="1" applyFill="1" applyBorder="1"/>
    <xf numFmtId="2" fontId="22" fillId="6" borderId="0" xfId="0" applyNumberFormat="1" applyFont="1" applyFill="1" applyAlignment="1">
      <alignment horizontal="center" wrapText="1"/>
    </xf>
    <xf numFmtId="166" fontId="7" fillId="0" borderId="77" xfId="1" applyNumberFormat="1" applyFont="1" applyBorder="1"/>
    <xf numFmtId="166" fontId="0" fillId="0" borderId="77" xfId="1" applyNumberFormat="1" applyFont="1" applyBorder="1"/>
    <xf numFmtId="166" fontId="3" fillId="0" borderId="77" xfId="1" applyNumberFormat="1" applyFont="1" applyBorder="1"/>
    <xf numFmtId="166" fontId="7" fillId="0" borderId="78" xfId="1" applyNumberFormat="1" applyFont="1" applyBorder="1"/>
    <xf numFmtId="166" fontId="7" fillId="0" borderId="79" xfId="1" applyNumberFormat="1" applyFont="1" applyBorder="1"/>
    <xf numFmtId="166" fontId="10" fillId="0" borderId="75" xfId="1" applyNumberFormat="1" applyFont="1" applyBorder="1"/>
    <xf numFmtId="166" fontId="0" fillId="0" borderId="75" xfId="1" applyNumberFormat="1" applyFont="1" applyBorder="1"/>
    <xf numFmtId="166" fontId="18" fillId="0" borderId="75" xfId="1" applyNumberFormat="1" applyFont="1" applyBorder="1"/>
    <xf numFmtId="166" fontId="29" fillId="0" borderId="75" xfId="1" applyNumberFormat="1" applyFont="1" applyFill="1" applyBorder="1"/>
    <xf numFmtId="166" fontId="18" fillId="0" borderId="75" xfId="1" applyNumberFormat="1" applyFont="1" applyFill="1" applyBorder="1"/>
    <xf numFmtId="0" fontId="5" fillId="0" borderId="75" xfId="0" applyFont="1" applyBorder="1" applyAlignment="1">
      <alignment horizontal="left" indent="3"/>
    </xf>
    <xf numFmtId="166" fontId="5" fillId="0" borderId="75" xfId="0" applyNumberFormat="1" applyFont="1" applyBorder="1" applyAlignment="1">
      <alignment horizontal="left" indent="3"/>
    </xf>
    <xf numFmtId="166" fontId="8" fillId="0" borderId="75" xfId="1" applyNumberFormat="1" applyFont="1" applyBorder="1"/>
    <xf numFmtId="166" fontId="3" fillId="0" borderId="75" xfId="1" applyNumberFormat="1" applyFont="1" applyBorder="1" applyAlignment="1">
      <alignment horizontal="right"/>
    </xf>
    <xf numFmtId="166" fontId="5" fillId="0" borderId="75" xfId="1" applyNumberFormat="1" applyFont="1" applyBorder="1"/>
    <xf numFmtId="166" fontId="8" fillId="5" borderId="27" xfId="1" applyNumberFormat="1" applyFont="1" applyFill="1" applyBorder="1"/>
    <xf numFmtId="0" fontId="3" fillId="5" borderId="55" xfId="0" applyFont="1" applyFill="1" applyBorder="1"/>
    <xf numFmtId="0" fontId="7" fillId="0" borderId="10" xfId="1" applyNumberFormat="1" applyFont="1" applyBorder="1"/>
    <xf numFmtId="0" fontId="3" fillId="5" borderId="82" xfId="0" applyFont="1" applyFill="1" applyBorder="1"/>
    <xf numFmtId="2" fontId="0" fillId="0" borderId="20" xfId="0" applyNumberFormat="1" applyBorder="1"/>
    <xf numFmtId="2" fontId="7" fillId="0" borderId="0" xfId="1" applyNumberFormat="1" applyFont="1" applyBorder="1"/>
    <xf numFmtId="166" fontId="5" fillId="0" borderId="20" xfId="0" applyNumberFormat="1" applyFont="1" applyBorder="1" applyAlignment="1">
      <alignment horizontal="left" indent="3"/>
    </xf>
    <xf numFmtId="166" fontId="5" fillId="0" borderId="20" xfId="0" applyNumberFormat="1" applyFont="1" applyBorder="1" applyAlignment="1">
      <alignment horizontal="right" indent="2"/>
    </xf>
    <xf numFmtId="166" fontId="18" fillId="0" borderId="0" xfId="1" applyNumberFormat="1" applyFont="1" applyBorder="1"/>
    <xf numFmtId="166" fontId="0" fillId="0" borderId="20" xfId="0" applyNumberFormat="1" applyBorder="1"/>
    <xf numFmtId="166" fontId="0" fillId="0" borderId="0" xfId="0" applyNumberFormat="1"/>
    <xf numFmtId="166" fontId="6" fillId="2" borderId="0" xfId="0" applyNumberFormat="1" applyFont="1" applyFill="1" applyAlignment="1">
      <alignment horizontal="right"/>
    </xf>
    <xf numFmtId="166" fontId="5" fillId="0" borderId="75" xfId="0" applyNumberFormat="1" applyFont="1" applyBorder="1" applyAlignment="1">
      <alignment horizontal="right" indent="3"/>
    </xf>
    <xf numFmtId="166" fontId="5" fillId="0" borderId="44" xfId="0" applyNumberFormat="1" applyFont="1" applyBorder="1" applyAlignment="1">
      <alignment horizontal="right"/>
    </xf>
    <xf numFmtId="166" fontId="12" fillId="3" borderId="0" xfId="0" applyNumberFormat="1" applyFont="1" applyFill="1" applyAlignment="1">
      <alignment horizontal="right"/>
    </xf>
    <xf numFmtId="166" fontId="5" fillId="0" borderId="0" xfId="0" applyNumberFormat="1" applyFont="1" applyAlignment="1">
      <alignment horizontal="right"/>
    </xf>
    <xf numFmtId="166" fontId="5" fillId="0" borderId="43" xfId="0" applyNumberFormat="1" applyFont="1" applyBorder="1" applyAlignment="1">
      <alignment horizontal="right"/>
    </xf>
    <xf numFmtId="166" fontId="0" fillId="0" borderId="0" xfId="0" applyNumberFormat="1" applyAlignment="1">
      <alignment horizontal="right"/>
    </xf>
    <xf numFmtId="166" fontId="25" fillId="11" borderId="2" xfId="0" applyNumberFormat="1" applyFont="1" applyFill="1" applyBorder="1"/>
    <xf numFmtId="166" fontId="6" fillId="2" borderId="49" xfId="0" applyNumberFormat="1" applyFont="1" applyFill="1" applyBorder="1" applyAlignment="1">
      <alignment horizontal="center"/>
    </xf>
    <xf numFmtId="166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indent="2"/>
    </xf>
    <xf numFmtId="166" fontId="0" fillId="11" borderId="0" xfId="0" applyNumberFormat="1" applyFill="1"/>
    <xf numFmtId="0" fontId="5" fillId="0" borderId="32" xfId="0" applyFont="1" applyBorder="1" applyAlignment="1">
      <alignment horizontal="left" indent="2"/>
    </xf>
    <xf numFmtId="166" fontId="5" fillId="0" borderId="80" xfId="0" applyNumberFormat="1" applyFont="1" applyBorder="1" applyAlignment="1">
      <alignment horizontal="right"/>
    </xf>
    <xf numFmtId="166" fontId="7" fillId="0" borderId="27" xfId="1" applyNumberFormat="1" applyFont="1" applyBorder="1" applyAlignment="1"/>
    <xf numFmtId="2" fontId="12" fillId="3" borderId="27" xfId="0" applyNumberFormat="1" applyFont="1" applyFill="1" applyBorder="1"/>
    <xf numFmtId="164" fontId="7" fillId="0" borderId="27" xfId="1" applyNumberFormat="1" applyFont="1" applyBorder="1" applyAlignment="1">
      <alignment horizontal="right"/>
    </xf>
    <xf numFmtId="8" fontId="27" fillId="0" borderId="27" xfId="0" applyNumberFormat="1" applyFont="1" applyBorder="1"/>
    <xf numFmtId="8" fontId="27" fillId="0" borderId="28" xfId="0" applyNumberFormat="1" applyFont="1" applyBorder="1"/>
    <xf numFmtId="0" fontId="3" fillId="5" borderId="83" xfId="0" applyFont="1" applyFill="1" applyBorder="1"/>
    <xf numFmtId="166" fontId="3" fillId="5" borderId="84" xfId="1" applyNumberFormat="1" applyFont="1" applyFill="1" applyBorder="1" applyAlignment="1">
      <alignment horizontal="right"/>
    </xf>
    <xf numFmtId="2" fontId="22" fillId="6" borderId="85" xfId="0" applyNumberFormat="1" applyFont="1" applyFill="1" applyBorder="1" applyAlignment="1">
      <alignment horizontal="center" wrapText="1"/>
    </xf>
    <xf numFmtId="166" fontId="2" fillId="5" borderId="85" xfId="0" applyNumberFormat="1" applyFont="1" applyFill="1" applyBorder="1"/>
    <xf numFmtId="166" fontId="2" fillId="5" borderId="86" xfId="0" applyNumberFormat="1" applyFont="1" applyFill="1" applyBorder="1"/>
    <xf numFmtId="166" fontId="5" fillId="0" borderId="81" xfId="0" applyNumberFormat="1" applyFont="1" applyBorder="1" applyAlignment="1">
      <alignment horizontal="right"/>
    </xf>
    <xf numFmtId="44" fontId="5" fillId="0" borderId="27" xfId="1" applyFont="1" applyBorder="1"/>
    <xf numFmtId="164" fontId="2" fillId="0" borderId="27" xfId="0" applyNumberFormat="1" applyFont="1" applyBorder="1" applyAlignment="1">
      <alignment horizontal="right"/>
    </xf>
    <xf numFmtId="164" fontId="2" fillId="0" borderId="28" xfId="0" applyNumberFormat="1" applyFont="1" applyBorder="1" applyAlignment="1">
      <alignment horizontal="right"/>
    </xf>
    <xf numFmtId="2" fontId="22" fillId="6" borderId="86" xfId="0" applyNumberFormat="1" applyFont="1" applyFill="1" applyBorder="1" applyAlignment="1">
      <alignment horizontal="center" wrapText="1"/>
    </xf>
    <xf numFmtId="0" fontId="8" fillId="5" borderId="83" xfId="0" applyFont="1" applyFill="1" applyBorder="1"/>
    <xf numFmtId="166" fontId="7" fillId="5" borderId="85" xfId="1" applyNumberFormat="1" applyFont="1" applyFill="1" applyBorder="1"/>
    <xf numFmtId="0" fontId="3" fillId="5" borderId="87" xfId="0" applyFont="1" applyFill="1" applyBorder="1"/>
    <xf numFmtId="166" fontId="3" fillId="5" borderId="88" xfId="1" applyNumberFormat="1" applyFont="1" applyFill="1" applyBorder="1" applyAlignment="1">
      <alignment horizontal="right"/>
    </xf>
    <xf numFmtId="0" fontId="3" fillId="5" borderId="88" xfId="0" applyFont="1" applyFill="1" applyBorder="1"/>
    <xf numFmtId="0" fontId="3" fillId="5" borderId="89" xfId="0" applyFont="1" applyFill="1" applyBorder="1"/>
    <xf numFmtId="166" fontId="5" fillId="0" borderId="61" xfId="0" applyNumberFormat="1" applyFont="1" applyBorder="1" applyAlignment="1">
      <alignment horizontal="right"/>
    </xf>
    <xf numFmtId="44" fontId="5" fillId="0" borderId="61" xfId="1" applyFont="1" applyBorder="1"/>
    <xf numFmtId="164" fontId="2" fillId="0" borderId="61" xfId="0" applyNumberFormat="1" applyFont="1" applyBorder="1" applyAlignment="1">
      <alignment horizontal="right"/>
    </xf>
    <xf numFmtId="166" fontId="3" fillId="5" borderId="82" xfId="0" applyNumberFormat="1" applyFont="1" applyFill="1" applyBorder="1" applyAlignment="1">
      <alignment horizontal="right"/>
    </xf>
    <xf numFmtId="0" fontId="0" fillId="0" borderId="27" xfId="0" applyBorder="1"/>
    <xf numFmtId="0" fontId="5" fillId="0" borderId="27" xfId="0" applyFont="1" applyBorder="1" applyAlignment="1">
      <alignment horizontal="left" indent="2"/>
    </xf>
    <xf numFmtId="2" fontId="22" fillId="6" borderId="91" xfId="0" applyNumberFormat="1" applyFont="1" applyFill="1" applyBorder="1" applyAlignment="1">
      <alignment horizontal="center" wrapText="1"/>
    </xf>
    <xf numFmtId="2" fontId="22" fillId="6" borderId="92" xfId="0" applyNumberFormat="1" applyFont="1" applyFill="1" applyBorder="1" applyAlignment="1">
      <alignment horizontal="center" wrapText="1"/>
    </xf>
    <xf numFmtId="2" fontId="22" fillId="6" borderId="35" xfId="0" applyNumberFormat="1" applyFont="1" applyFill="1" applyBorder="1" applyAlignment="1">
      <alignment horizontal="center" wrapText="1"/>
    </xf>
    <xf numFmtId="0" fontId="8" fillId="5" borderId="4" xfId="0" applyFont="1" applyFill="1" applyBorder="1"/>
    <xf numFmtId="166" fontId="7" fillId="5" borderId="0" xfId="1" applyNumberFormat="1" applyFont="1" applyFill="1" applyBorder="1"/>
    <xf numFmtId="166" fontId="8" fillId="0" borderId="20" xfId="1" applyNumberFormat="1" applyFont="1" applyBorder="1"/>
    <xf numFmtId="0" fontId="5" fillId="0" borderId="36" xfId="0" applyFont="1" applyBorder="1" applyAlignment="1">
      <alignment horizontal="left" indent="2"/>
    </xf>
    <xf numFmtId="0" fontId="0" fillId="0" borderId="75" xfId="1" applyNumberFormat="1" applyFont="1" applyBorder="1"/>
    <xf numFmtId="0" fontId="8" fillId="0" borderId="75" xfId="1" applyNumberFormat="1" applyFont="1" applyBorder="1"/>
    <xf numFmtId="0" fontId="0" fillId="0" borderId="0" xfId="1" applyNumberFormat="1" applyFont="1" applyBorder="1"/>
    <xf numFmtId="0" fontId="0" fillId="0" borderId="0" xfId="1" applyNumberFormat="1" applyFont="1"/>
    <xf numFmtId="0" fontId="22" fillId="6" borderId="21" xfId="0" applyFont="1" applyFill="1" applyBorder="1" applyAlignment="1">
      <alignment horizontal="center" wrapText="1"/>
    </xf>
    <xf numFmtId="0" fontId="12" fillId="3" borderId="20" xfId="0" applyFont="1" applyFill="1" applyBorder="1"/>
    <xf numFmtId="0" fontId="22" fillId="6" borderId="37" xfId="0" applyFont="1" applyFill="1" applyBorder="1" applyAlignment="1">
      <alignment horizontal="center" wrapText="1"/>
    </xf>
    <xf numFmtId="167" fontId="12" fillId="3" borderId="20" xfId="0" applyNumberFormat="1" applyFont="1" applyFill="1" applyBorder="1"/>
    <xf numFmtId="2" fontId="0" fillId="0" borderId="0" xfId="1" applyNumberFormat="1" applyFont="1"/>
    <xf numFmtId="0" fontId="22" fillId="6" borderId="27" xfId="0" applyFont="1" applyFill="1" applyBorder="1" applyAlignment="1">
      <alignment horizontal="center" wrapText="1"/>
    </xf>
    <xf numFmtId="0" fontId="0" fillId="0" borderId="27" xfId="0" applyBorder="1" applyAlignment="1">
      <alignment horizontal="left" indent="2"/>
    </xf>
    <xf numFmtId="166" fontId="18" fillId="14" borderId="0" xfId="1" applyNumberFormat="1" applyFont="1" applyFill="1" applyBorder="1" applyAlignment="1">
      <alignment horizontal="right"/>
    </xf>
    <xf numFmtId="44" fontId="10" fillId="14" borderId="75" xfId="1" applyFont="1" applyFill="1" applyBorder="1"/>
    <xf numFmtId="0" fontId="10" fillId="14" borderId="75" xfId="0" applyFont="1" applyFill="1" applyBorder="1"/>
    <xf numFmtId="8" fontId="10" fillId="14" borderId="75" xfId="0" applyNumberFormat="1" applyFont="1" applyFill="1" applyBorder="1"/>
    <xf numFmtId="8" fontId="13" fillId="14" borderId="75" xfId="0" applyNumberFormat="1" applyFont="1" applyFill="1" applyBorder="1"/>
    <xf numFmtId="8" fontId="26" fillId="14" borderId="75" xfId="0" applyNumberFormat="1" applyFont="1" applyFill="1" applyBorder="1"/>
    <xf numFmtId="0" fontId="7" fillId="14" borderId="4" xfId="0" applyFont="1" applyFill="1" applyBorder="1" applyAlignment="1">
      <alignment horizontal="right" indent="2"/>
    </xf>
    <xf numFmtId="166" fontId="7" fillId="14" borderId="0" xfId="1" applyNumberFormat="1" applyFont="1" applyFill="1" applyBorder="1" applyAlignment="1">
      <alignment horizontal="right"/>
    </xf>
    <xf numFmtId="0" fontId="3" fillId="5" borderId="1" xfId="0" applyFont="1" applyFill="1" applyBorder="1"/>
    <xf numFmtId="166" fontId="3" fillId="5" borderId="2" xfId="1" applyNumberFormat="1" applyFont="1" applyFill="1" applyBorder="1" applyAlignment="1">
      <alignment horizontal="right"/>
    </xf>
    <xf numFmtId="0" fontId="3" fillId="5" borderId="6" xfId="0" applyFont="1" applyFill="1" applyBorder="1"/>
    <xf numFmtId="166" fontId="3" fillId="5" borderId="7" xfId="1" applyNumberFormat="1" applyFont="1" applyFill="1" applyBorder="1" applyAlignment="1">
      <alignment horizontal="right"/>
    </xf>
    <xf numFmtId="166" fontId="7" fillId="5" borderId="4" xfId="0" applyNumberFormat="1" applyFont="1" applyFill="1" applyBorder="1"/>
    <xf numFmtId="166" fontId="7" fillId="5" borderId="0" xfId="0" applyNumberFormat="1" applyFont="1" applyFill="1"/>
    <xf numFmtId="166" fontId="7" fillId="5" borderId="5" xfId="0" applyNumberFormat="1" applyFont="1" applyFill="1" applyBorder="1"/>
    <xf numFmtId="0" fontId="10" fillId="0" borderId="20" xfId="0" applyFont="1" applyBorder="1" applyAlignment="1">
      <alignment horizontal="right" indent="2"/>
    </xf>
    <xf numFmtId="166" fontId="10" fillId="0" borderId="20" xfId="0" applyNumberFormat="1" applyFont="1" applyBorder="1"/>
    <xf numFmtId="0" fontId="10" fillId="0" borderId="20" xfId="0" applyFont="1" applyBorder="1"/>
    <xf numFmtId="8" fontId="10" fillId="0" borderId="20" xfId="0" applyNumberFormat="1" applyFont="1" applyBorder="1"/>
    <xf numFmtId="8" fontId="13" fillId="0" borderId="20" xfId="0" applyNumberFormat="1" applyFont="1" applyBorder="1"/>
    <xf numFmtId="0" fontId="0" fillId="0" borderId="20" xfId="0" applyBorder="1" applyAlignment="1">
      <alignment horizontal="right"/>
    </xf>
    <xf numFmtId="0" fontId="7" fillId="0" borderId="20" xfId="0" applyFont="1" applyBorder="1" applyAlignment="1">
      <alignment horizontal="right" indent="2"/>
    </xf>
    <xf numFmtId="44" fontId="7" fillId="0" borderId="20" xfId="1" applyFont="1" applyBorder="1"/>
    <xf numFmtId="8" fontId="7" fillId="0" borderId="20" xfId="1" applyNumberFormat="1" applyFont="1" applyBorder="1"/>
    <xf numFmtId="164" fontId="7" fillId="0" borderId="20" xfId="0" applyNumberFormat="1" applyFont="1" applyBorder="1"/>
    <xf numFmtId="0" fontId="15" fillId="0" borderId="20" xfId="0" applyFont="1" applyBorder="1"/>
    <xf numFmtId="0" fontId="10" fillId="0" borderId="36" xfId="0" applyFont="1" applyBorder="1" applyAlignment="1">
      <alignment horizontal="right" indent="2"/>
    </xf>
    <xf numFmtId="166" fontId="0" fillId="0" borderId="36" xfId="0" applyNumberFormat="1" applyBorder="1"/>
    <xf numFmtId="44" fontId="7" fillId="0" borderId="36" xfId="1" applyFont="1" applyBorder="1"/>
    <xf numFmtId="8" fontId="7" fillId="0" borderId="36" xfId="1" applyNumberFormat="1" applyFont="1" applyBorder="1"/>
    <xf numFmtId="164" fontId="7" fillId="0" borderId="36" xfId="0" applyNumberFormat="1" applyFont="1" applyBorder="1"/>
    <xf numFmtId="166" fontId="0" fillId="0" borderId="27" xfId="0" applyNumberFormat="1" applyBorder="1"/>
    <xf numFmtId="8" fontId="7" fillId="0" borderId="27" xfId="1" applyNumberFormat="1" applyFont="1" applyBorder="1"/>
    <xf numFmtId="164" fontId="2" fillId="0" borderId="27" xfId="0" applyNumberFormat="1" applyFont="1" applyBorder="1"/>
    <xf numFmtId="0" fontId="14" fillId="0" borderId="27" xfId="0" applyFont="1" applyBorder="1"/>
    <xf numFmtId="166" fontId="3" fillId="5" borderId="20" xfId="1" applyNumberFormat="1" applyFont="1" applyFill="1" applyBorder="1" applyAlignment="1">
      <alignment horizontal="right"/>
    </xf>
    <xf numFmtId="0" fontId="12" fillId="3" borderId="20" xfId="0" applyFont="1" applyFill="1" applyBorder="1" applyAlignment="1">
      <alignment horizontal="center"/>
    </xf>
    <xf numFmtId="166" fontId="12" fillId="3" borderId="20" xfId="0" applyNumberFormat="1" applyFont="1" applyFill="1" applyBorder="1"/>
    <xf numFmtId="0" fontId="8" fillId="5" borderId="20" xfId="0" applyFont="1" applyFill="1" applyBorder="1"/>
    <xf numFmtId="166" fontId="7" fillId="5" borderId="20" xfId="1" applyNumberFormat="1" applyFont="1" applyFill="1" applyBorder="1"/>
    <xf numFmtId="166" fontId="3" fillId="5" borderId="20" xfId="0" applyNumberFormat="1" applyFont="1" applyFill="1" applyBorder="1" applyAlignment="1">
      <alignment horizontal="right"/>
    </xf>
    <xf numFmtId="0" fontId="3" fillId="5" borderId="20" xfId="0" applyFont="1" applyFill="1" applyBorder="1" applyAlignment="1">
      <alignment horizontal="center"/>
    </xf>
    <xf numFmtId="166" fontId="5" fillId="0" borderId="20" xfId="0" applyNumberFormat="1" applyFont="1" applyBorder="1" applyAlignment="1">
      <alignment horizontal="right"/>
    </xf>
    <xf numFmtId="166" fontId="3" fillId="5" borderId="85" xfId="1" applyNumberFormat="1" applyFont="1" applyFill="1" applyBorder="1" applyAlignment="1">
      <alignment horizontal="right"/>
    </xf>
    <xf numFmtId="0" fontId="3" fillId="5" borderId="85" xfId="0" applyFont="1" applyFill="1" applyBorder="1"/>
    <xf numFmtId="0" fontId="3" fillId="5" borderId="86" xfId="0" applyFont="1" applyFill="1" applyBorder="1"/>
    <xf numFmtId="0" fontId="12" fillId="3" borderId="35" xfId="0" applyFont="1" applyFill="1" applyBorder="1" applyAlignment="1">
      <alignment horizontal="center"/>
    </xf>
    <xf numFmtId="166" fontId="12" fillId="3" borderId="35" xfId="0" applyNumberFormat="1" applyFont="1" applyFill="1" applyBorder="1"/>
    <xf numFmtId="166" fontId="8" fillId="5" borderId="85" xfId="1" applyNumberFormat="1" applyFont="1" applyFill="1" applyBorder="1" applyAlignment="1">
      <alignment horizontal="right"/>
    </xf>
    <xf numFmtId="0" fontId="3" fillId="5" borderId="36" xfId="0" applyFont="1" applyFill="1" applyBorder="1"/>
    <xf numFmtId="166" fontId="3" fillId="5" borderId="36" xfId="0" applyNumberFormat="1" applyFont="1" applyFill="1" applyBorder="1" applyAlignment="1">
      <alignment horizontal="right"/>
    </xf>
    <xf numFmtId="166" fontId="5" fillId="0" borderId="27" xfId="0" applyNumberFormat="1" applyFont="1" applyBorder="1" applyAlignment="1">
      <alignment horizontal="right"/>
    </xf>
    <xf numFmtId="0" fontId="3" fillId="5" borderId="85" xfId="0" applyFont="1" applyFill="1" applyBorder="1" applyAlignment="1">
      <alignment horizontal="center"/>
    </xf>
    <xf numFmtId="2" fontId="25" fillId="11" borderId="2" xfId="0" applyNumberFormat="1" applyFont="1" applyFill="1" applyBorder="1"/>
    <xf numFmtId="2" fontId="6" fillId="2" borderId="0" xfId="0" applyNumberFormat="1" applyFont="1" applyFill="1" applyAlignment="1">
      <alignment horizontal="center"/>
    </xf>
    <xf numFmtId="2" fontId="10" fillId="0" borderId="20" xfId="0" applyNumberFormat="1" applyFont="1" applyBorder="1"/>
    <xf numFmtId="2" fontId="7" fillId="0" borderId="20" xfId="1" applyNumberFormat="1" applyFont="1" applyBorder="1"/>
    <xf numFmtId="2" fontId="7" fillId="0" borderId="36" xfId="1" applyNumberFormat="1" applyFont="1" applyBorder="1"/>
    <xf numFmtId="2" fontId="5" fillId="0" borderId="27" xfId="1" applyNumberFormat="1" applyFont="1" applyBorder="1"/>
    <xf numFmtId="2" fontId="5" fillId="0" borderId="20" xfId="1" applyNumberFormat="1" applyFont="1" applyBorder="1"/>
    <xf numFmtId="2" fontId="3" fillId="5" borderId="36" xfId="0" applyNumberFormat="1" applyFont="1" applyFill="1" applyBorder="1"/>
    <xf numFmtId="2" fontId="7" fillId="0" borderId="35" xfId="1" applyNumberFormat="1" applyFont="1" applyBorder="1"/>
    <xf numFmtId="0" fontId="8" fillId="5" borderId="90" xfId="0" applyFont="1" applyFill="1" applyBorder="1"/>
    <xf numFmtId="166" fontId="8" fillId="5" borderId="93" xfId="1" applyNumberFormat="1" applyFont="1" applyFill="1" applyBorder="1" applyAlignment="1">
      <alignment horizontal="right"/>
    </xf>
    <xf numFmtId="0" fontId="7" fillId="0" borderId="76" xfId="0" applyFont="1" applyBorder="1" applyAlignment="1">
      <alignment horizontal="right"/>
    </xf>
    <xf numFmtId="0" fontId="10" fillId="0" borderId="75" xfId="0" applyFont="1" applyBorder="1" applyAlignment="1">
      <alignment horizontal="left" indent="4"/>
    </xf>
    <xf numFmtId="0" fontId="10" fillId="0" borderId="75" xfId="0" applyFont="1" applyBorder="1" applyAlignment="1">
      <alignment horizontal="right"/>
    </xf>
    <xf numFmtId="166" fontId="0" fillId="0" borderId="75" xfId="0" applyNumberFormat="1" applyBorder="1"/>
    <xf numFmtId="0" fontId="6" fillId="2" borderId="95" xfId="0" applyFont="1" applyFill="1" applyBorder="1" applyAlignment="1">
      <alignment horizontal="center"/>
    </xf>
    <xf numFmtId="0" fontId="31" fillId="11" borderId="1" xfId="0" applyFont="1" applyFill="1" applyBorder="1" applyAlignment="1">
      <alignment horizontal="left"/>
    </xf>
    <xf numFmtId="166" fontId="31" fillId="11" borderId="2" xfId="0" applyNumberFormat="1" applyFont="1" applyFill="1" applyBorder="1" applyAlignment="1">
      <alignment horizontal="right"/>
    </xf>
    <xf numFmtId="44" fontId="0" fillId="11" borderId="2" xfId="1" applyFont="1" applyFill="1" applyBorder="1"/>
    <xf numFmtId="44" fontId="3" fillId="11" borderId="2" xfId="1" applyFont="1" applyFill="1" applyBorder="1"/>
    <xf numFmtId="0" fontId="10" fillId="14" borderId="96" xfId="0" applyFont="1" applyFill="1" applyBorder="1" applyAlignment="1">
      <alignment horizontal="right" indent="2"/>
    </xf>
    <xf numFmtId="8" fontId="26" fillId="14" borderId="97" xfId="0" applyNumberFormat="1" applyFont="1" applyFill="1" applyBorder="1"/>
    <xf numFmtId="166" fontId="5" fillId="0" borderId="96" xfId="0" applyNumberFormat="1" applyFont="1" applyBorder="1" applyAlignment="1">
      <alignment horizontal="right" indent="3"/>
    </xf>
    <xf numFmtId="166" fontId="5" fillId="0" borderId="97" xfId="1" applyNumberFormat="1" applyFont="1" applyBorder="1"/>
    <xf numFmtId="0" fontId="5" fillId="0" borderId="98" xfId="0" applyFont="1" applyBorder="1" applyAlignment="1">
      <alignment horizontal="left" indent="2"/>
    </xf>
    <xf numFmtId="164" fontId="2" fillId="0" borderId="99" xfId="0" applyNumberFormat="1" applyFont="1" applyBorder="1" applyAlignment="1">
      <alignment horizontal="right"/>
    </xf>
    <xf numFmtId="0" fontId="5" fillId="0" borderId="100" xfId="0" applyFont="1" applyBorder="1" applyAlignment="1">
      <alignment horizontal="left" indent="2"/>
    </xf>
    <xf numFmtId="164" fontId="2" fillId="0" borderId="101" xfId="0" applyNumberFormat="1" applyFont="1" applyBorder="1" applyAlignment="1">
      <alignment horizontal="right"/>
    </xf>
    <xf numFmtId="164" fontId="2" fillId="0" borderId="101" xfId="0" applyNumberFormat="1" applyFont="1" applyBorder="1"/>
    <xf numFmtId="0" fontId="0" fillId="0" borderId="100" xfId="0" applyBorder="1" applyAlignment="1">
      <alignment horizontal="left" indent="2"/>
    </xf>
    <xf numFmtId="44" fontId="12" fillId="3" borderId="0" xfId="1" applyFont="1" applyFill="1" applyBorder="1"/>
    <xf numFmtId="2" fontId="2" fillId="0" borderId="0" xfId="0" applyNumberFormat="1" applyFont="1"/>
    <xf numFmtId="2" fontId="2" fillId="0" borderId="5" xfId="0" applyNumberFormat="1" applyFont="1" applyBorder="1"/>
    <xf numFmtId="0" fontId="3" fillId="5" borderId="102" xfId="0" applyFont="1" applyFill="1" applyBorder="1"/>
    <xf numFmtId="0" fontId="3" fillId="5" borderId="103" xfId="0" applyFont="1" applyFill="1" applyBorder="1"/>
    <xf numFmtId="0" fontId="0" fillId="0" borderId="28" xfId="0" applyBorder="1"/>
    <xf numFmtId="0" fontId="0" fillId="0" borderId="32" xfId="0" applyBorder="1" applyAlignment="1">
      <alignment horizontal="left" indent="2"/>
    </xf>
    <xf numFmtId="166" fontId="5" fillId="0" borderId="24" xfId="0" applyNumberFormat="1" applyFont="1" applyBorder="1" applyAlignment="1">
      <alignment horizontal="right"/>
    </xf>
    <xf numFmtId="44" fontId="5" fillId="0" borderId="24" xfId="1" applyFont="1" applyBorder="1"/>
    <xf numFmtId="0" fontId="28" fillId="11" borderId="2" xfId="0" applyFont="1" applyFill="1" applyBorder="1"/>
    <xf numFmtId="0" fontId="10" fillId="0" borderId="96" xfId="0" applyFont="1" applyBorder="1" applyAlignment="1">
      <alignment horizontal="right" indent="2"/>
    </xf>
    <xf numFmtId="166" fontId="10" fillId="0" borderId="97" xfId="1" applyNumberFormat="1" applyFont="1" applyBorder="1"/>
    <xf numFmtId="0" fontId="5" fillId="0" borderId="96" xfId="0" applyFont="1" applyBorder="1" applyAlignment="1">
      <alignment horizontal="right" indent="3"/>
    </xf>
    <xf numFmtId="44" fontId="3" fillId="0" borderId="0" xfId="1" applyFont="1" applyBorder="1"/>
    <xf numFmtId="0" fontId="0" fillId="0" borderId="5" xfId="0" applyBorder="1"/>
    <xf numFmtId="0" fontId="3" fillId="5" borderId="104" xfId="0" applyFont="1" applyFill="1" applyBorder="1"/>
    <xf numFmtId="0" fontId="3" fillId="5" borderId="105" xfId="0" applyFont="1" applyFill="1" applyBorder="1"/>
    <xf numFmtId="166" fontId="12" fillId="3" borderId="0" xfId="1" applyNumberFormat="1" applyFont="1" applyFill="1" applyBorder="1"/>
    <xf numFmtId="166" fontId="5" fillId="0" borderId="7" xfId="0" applyNumberFormat="1" applyFont="1" applyBorder="1" applyAlignment="1">
      <alignment horizontal="right"/>
    </xf>
    <xf numFmtId="2" fontId="12" fillId="3" borderId="92" xfId="0" applyNumberFormat="1" applyFont="1" applyFill="1" applyBorder="1"/>
    <xf numFmtId="166" fontId="18" fillId="0" borderId="20" xfId="1" applyNumberFormat="1" applyFont="1" applyBorder="1"/>
    <xf numFmtId="166" fontId="10" fillId="0" borderId="20" xfId="1" applyNumberFormat="1" applyFont="1" applyBorder="1"/>
    <xf numFmtId="166" fontId="0" fillId="0" borderId="20" xfId="1" applyNumberFormat="1" applyFont="1" applyBorder="1"/>
    <xf numFmtId="0" fontId="5" fillId="0" borderId="20" xfId="0" applyFont="1" applyBorder="1" applyAlignment="1">
      <alignment horizontal="right" indent="3"/>
    </xf>
    <xf numFmtId="166" fontId="3" fillId="0" borderId="20" xfId="1" applyNumberFormat="1" applyFont="1" applyBorder="1" applyAlignment="1">
      <alignment horizontal="right"/>
    </xf>
    <xf numFmtId="166" fontId="7" fillId="14" borderId="20" xfId="1" applyNumberFormat="1" applyFont="1" applyFill="1" applyBorder="1" applyAlignment="1">
      <alignment horizontal="right"/>
    </xf>
    <xf numFmtId="166" fontId="12" fillId="3" borderId="20" xfId="0" applyNumberFormat="1" applyFont="1" applyFill="1" applyBorder="1" applyAlignment="1">
      <alignment horizontal="right"/>
    </xf>
    <xf numFmtId="0" fontId="8" fillId="5" borderId="41" xfId="0" applyFont="1" applyFill="1" applyBorder="1"/>
    <xf numFmtId="166" fontId="8" fillId="5" borderId="94" xfId="1" applyNumberFormat="1" applyFont="1" applyFill="1" applyBorder="1" applyAlignment="1">
      <alignment horizontal="right"/>
    </xf>
    <xf numFmtId="166" fontId="7" fillId="5" borderId="35" xfId="1" applyNumberFormat="1" applyFont="1" applyFill="1" applyBorder="1"/>
    <xf numFmtId="166" fontId="2" fillId="5" borderId="35" xfId="0" applyNumberFormat="1" applyFont="1" applyFill="1" applyBorder="1"/>
    <xf numFmtId="0" fontId="10" fillId="0" borderId="20" xfId="0" applyFont="1" applyBorder="1" applyAlignment="1">
      <alignment horizontal="right"/>
    </xf>
    <xf numFmtId="0" fontId="7" fillId="0" borderId="20" xfId="0" applyFont="1" applyBorder="1" applyAlignment="1">
      <alignment horizontal="right"/>
    </xf>
    <xf numFmtId="9" fontId="0" fillId="0" borderId="20" xfId="2" applyFont="1" applyBorder="1"/>
    <xf numFmtId="164" fontId="7" fillId="0" borderId="20" xfId="1" applyNumberFormat="1" applyFont="1" applyBorder="1"/>
    <xf numFmtId="10" fontId="0" fillId="0" borderId="20" xfId="2" applyNumberFormat="1" applyFont="1" applyBorder="1"/>
    <xf numFmtId="166" fontId="7" fillId="5" borderId="20" xfId="0" applyNumberFormat="1" applyFont="1" applyFill="1" applyBorder="1"/>
    <xf numFmtId="166" fontId="12" fillId="3" borderId="20" xfId="0" applyNumberFormat="1" applyFont="1" applyFill="1" applyBorder="1" applyAlignment="1">
      <alignment horizontal="center"/>
    </xf>
    <xf numFmtId="166" fontId="5" fillId="5" borderId="20" xfId="1" applyNumberFormat="1" applyFont="1" applyFill="1" applyBorder="1"/>
    <xf numFmtId="166" fontId="0" fillId="5" borderId="20" xfId="1" applyNumberFormat="1" applyFont="1" applyFill="1" applyBorder="1"/>
    <xf numFmtId="166" fontId="6" fillId="2" borderId="20" xfId="0" applyNumberFormat="1" applyFont="1" applyFill="1" applyBorder="1" applyAlignment="1">
      <alignment horizontal="center"/>
    </xf>
    <xf numFmtId="0" fontId="23" fillId="2" borderId="20" xfId="0" applyFont="1" applyFill="1" applyBorder="1" applyAlignment="1">
      <alignment horizontal="center"/>
    </xf>
    <xf numFmtId="166" fontId="29" fillId="0" borderId="20" xfId="0" applyNumberFormat="1" applyFont="1" applyBorder="1"/>
    <xf numFmtId="166" fontId="29" fillId="0" borderId="20" xfId="1" applyNumberFormat="1" applyFont="1" applyBorder="1"/>
    <xf numFmtId="166" fontId="29" fillId="12" borderId="20" xfId="1" applyNumberFormat="1" applyFont="1" applyFill="1" applyBorder="1"/>
    <xf numFmtId="0" fontId="5" fillId="0" borderId="20" xfId="0" applyFont="1" applyBorder="1" applyAlignment="1">
      <alignment horizontal="left" indent="3"/>
    </xf>
    <xf numFmtId="0" fontId="5" fillId="0" borderId="20" xfId="0" applyFont="1" applyBorder="1" applyAlignment="1">
      <alignment horizontal="left" indent="2"/>
      <extLst>
        <ext xmlns:xfpb="http://schemas.microsoft.com/office/spreadsheetml/2022/featurepropertybag" uri="{C7286773-470A-42A8-94C5-96B5CB345126}">
          <xfpb:xfComplement i="0"/>
        </ext>
      </extLst>
    </xf>
    <xf numFmtId="0" fontId="32" fillId="15" borderId="62" xfId="0" applyFont="1" applyFill="1" applyBorder="1" applyAlignment="1">
      <alignment horizontal="center"/>
    </xf>
    <xf numFmtId="0" fontId="32" fillId="15" borderId="63" xfId="0" applyFont="1" applyFill="1" applyBorder="1" applyAlignment="1">
      <alignment horizontal="center"/>
    </xf>
    <xf numFmtId="0" fontId="32" fillId="15" borderId="64" xfId="0" applyFont="1" applyFill="1" applyBorder="1" applyAlignment="1">
      <alignment horizontal="center"/>
    </xf>
    <xf numFmtId="0" fontId="32" fillId="15" borderId="65" xfId="0" applyFont="1" applyFill="1" applyBorder="1" applyAlignment="1">
      <alignment horizontal="center"/>
    </xf>
    <xf numFmtId="0" fontId="32" fillId="15" borderId="62" xfId="0" applyFont="1" applyFill="1" applyBorder="1" applyAlignment="1">
      <alignment horizontal="left"/>
    </xf>
    <xf numFmtId="0" fontId="32" fillId="15" borderId="63" xfId="0" applyFont="1" applyFill="1" applyBorder="1" applyAlignment="1">
      <alignment horizontal="left"/>
    </xf>
    <xf numFmtId="0" fontId="32" fillId="15" borderId="64" xfId="0" applyFont="1" applyFill="1" applyBorder="1" applyAlignment="1">
      <alignment horizontal="left"/>
    </xf>
    <xf numFmtId="0" fontId="32" fillId="15" borderId="65" xfId="0" applyFont="1" applyFill="1" applyBorder="1" applyAlignment="1">
      <alignment horizontal="left"/>
    </xf>
    <xf numFmtId="0" fontId="25" fillId="11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14" fontId="12" fillId="11" borderId="7" xfId="1" applyNumberFormat="1" applyFont="1" applyFill="1" applyBorder="1" applyAlignment="1">
      <alignment horizontal="center"/>
    </xf>
    <xf numFmtId="44" fontId="12" fillId="11" borderId="7" xfId="1" applyFont="1" applyFill="1" applyBorder="1" applyAlignment="1">
      <alignment horizontal="center"/>
    </xf>
    <xf numFmtId="14" fontId="12" fillId="11" borderId="0" xfId="1" applyNumberFormat="1" applyFont="1" applyFill="1" applyBorder="1" applyAlignment="1">
      <alignment horizontal="center"/>
    </xf>
    <xf numFmtId="44" fontId="12" fillId="11" borderId="0" xfId="1" applyFont="1" applyFill="1" applyBorder="1" applyAlignment="1">
      <alignment horizontal="center"/>
    </xf>
    <xf numFmtId="0" fontId="25" fillId="11" borderId="3" xfId="0" applyFont="1" applyFill="1" applyBorder="1" applyAlignment="1">
      <alignment horizontal="center"/>
    </xf>
    <xf numFmtId="14" fontId="0" fillId="0" borderId="38" xfId="0" quotePrefix="1" applyNumberFormat="1" applyBorder="1" applyAlignment="1">
      <alignment horizontal="center"/>
    </xf>
    <xf numFmtId="14" fontId="0" fillId="0" borderId="38" xfId="0" applyNumberForma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0" fillId="0" borderId="14" xfId="0" applyFont="1" applyBorder="1" applyAlignment="1">
      <alignment horizontal="left"/>
    </xf>
    <xf numFmtId="0" fontId="10" fillId="0" borderId="15" xfId="0" applyFont="1" applyBorder="1" applyAlignment="1">
      <alignment horizontal="left"/>
    </xf>
    <xf numFmtId="0" fontId="5" fillId="0" borderId="9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0" xfId="0" applyFont="1" applyBorder="1" applyAlignment="1">
      <alignment horizontal="center"/>
    </xf>
    <xf numFmtId="165" fontId="10" fillId="0" borderId="17" xfId="0" applyNumberFormat="1" applyFont="1" applyBorder="1" applyAlignment="1">
      <alignment horizontal="left"/>
    </xf>
    <xf numFmtId="165" fontId="10" fillId="0" borderId="15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5" xfId="0" applyNumberFormat="1" applyFont="1" applyBorder="1" applyAlignment="1">
      <alignment horizontal="center"/>
    </xf>
    <xf numFmtId="0" fontId="24" fillId="0" borderId="0" xfId="0" quotePrefix="1" applyFont="1" applyAlignment="1">
      <alignment horizontal="center"/>
    </xf>
    <xf numFmtId="0" fontId="11" fillId="0" borderId="0" xfId="0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14"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1" formatCode="d\-m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4" formatCode="_([$$-409]* #,##0.00_);_([$$-409]* \(#,##0.00\);_([$$-409]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000000"/>
          <bgColor rgb="FF0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1" formatCode="d\-m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4" formatCode="_([$$-409]* #,##0.00_);_([$$-409]* \(#,##0.00\);_([$$-409]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000000"/>
          <bgColor rgb="FF0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4.xml"/><Relationship Id="rId21" Type="http://schemas.openxmlformats.org/officeDocument/2006/relationships/worksheet" Target="worksheets/sheet21.xml"/><Relationship Id="rId34" Type="http://schemas.microsoft.com/office/2022/11/relationships/FeaturePropertyBag" Target="featurePropertyBag/featurePropertyBag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10/relationships/person" Target="persons/person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Jishnu Nath" id="{956B648D-5EC0-4D44-8397-C7334502D5B9}" userId="S::jish.nath@cloudbaud.com::842c2e1c-c519-437b-a769-0b0c4cdb1732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75BF23-4DA4-48C0-BE90-0331E381A285}" name="Table13" displayName="Table13" ref="S2:V60" totalsRowShown="0" headerRowDxfId="13" headerRowBorderDxfId="12" tableBorderDxfId="11">
  <autoFilter ref="S2:V60" xr:uid="{1375BF23-4DA4-48C0-BE90-0331E381A285}"/>
  <tableColumns count="4">
    <tableColumn id="1" xr3:uid="{11431440-363D-4642-85B2-D0D3497F5F0A}" name="Check#" dataDxfId="10"/>
    <tableColumn id="2" xr3:uid="{FF1E6CEE-9573-4AEF-8F94-E5A55B81806C}" name="Amount" dataDxfId="9"/>
    <tableColumn id="3" xr3:uid="{EDA012E1-874A-4BDB-8FB9-A5635FD12A28}" name="Date" dataDxfId="8"/>
    <tableColumn id="4" xr3:uid="{2F8FD4CF-4046-4F04-A5F5-7242F8870890}" name="Payee" dataDxfId="7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313453-820C-499B-9ABE-577CFC25F4B2}" name="Table1" displayName="Table1" ref="S2:V60" totalsRowShown="0" headerRowDxfId="6" headerRowBorderDxfId="5" tableBorderDxfId="4">
  <autoFilter ref="S2:V60" xr:uid="{5D313453-820C-499B-9ABE-577CFC25F4B2}"/>
  <tableColumns count="4">
    <tableColumn id="1" xr3:uid="{FBE55DAA-1F24-4E31-A325-05A0747F5B31}" name="Check#" dataDxfId="3"/>
    <tableColumn id="2" xr3:uid="{8AF03CE0-E73F-4EDE-A44C-9FBD257D7AB2}" name="Amount" dataDxfId="2"/>
    <tableColumn id="3" xr3:uid="{088C130C-C2EA-4645-8FD0-65A73B7C9344}" name="Date" dataDxfId="1"/>
    <tableColumn id="4" xr3:uid="{F1394EF1-F2B2-46E1-AAC0-D99AB00C7539}" name="Payee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9" dT="2022-10-10T18:53:24.66" personId="{956B648D-5EC0-4D44-8397-C7334502D5B9}" id="{14F14962-BC69-41DF-9522-7C77383F21E2}">
    <text>solid, recycle, yard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9" dT="2022-10-10T18:53:24.66" personId="{956B648D-5EC0-4D44-8397-C7334502D5B9}" id="{3D3B4BF2-5CAD-466D-8055-C59F00BDE079}">
    <text>solid, recycle, yard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14" dT="2022-10-10T18:53:24.66" personId="{956B648D-5EC0-4D44-8397-C7334502D5B9}" id="{1C360EC0-608F-4157-9EF3-64D1C4950EF0}">
    <text>solid, recycle, yard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14" dT="2022-10-10T18:53:24.66" personId="{956B648D-5EC0-4D44-8397-C7334502D5B9}" id="{FE8A0E94-BE8E-4C6B-ACFE-580845CE9EDD}">
    <text>solid, recycle, yard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14" dT="2022-10-10T18:53:24.66" personId="{956B648D-5EC0-4D44-8397-C7334502D5B9}" id="{73563A9C-5801-4934-B9EA-8975298DA591}">
    <text>solid, recycle, yard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14" dT="2022-10-10T18:53:24.66" personId="{956B648D-5EC0-4D44-8397-C7334502D5B9}" id="{1155836C-BB16-47D0-9CB3-79D09498DE4C}">
    <text>solid, recycle, yard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C19" dT="2021-09-15T15:15:14.48" personId="{956B648D-5EC0-4D44-8397-C7334502D5B9}" id="{920324D9-8055-4D89-8794-FBCDA52AED79}">
    <text>@David  Inventory is what i am working on right now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6CFBD003-A845-4E95-939C-EE73231BBE01}">
  <we:reference id="wa104379629" version="1.3.0.0" store="en-US" storeType="OMEX"/>
  <we:alternateReferences>
    <we:reference id="wa104379629" version="1.3.0.0" store="wa104379629" storeType="OMEX"/>
  </we:alternateReferences>
  <we:properties>
    <we:property name="RuntimeConfig" value="{&quot;HostName&quot;:&quot;&quot;,&quot;Applets&quot;:{},&quot;ActiveAppletId&quot;:&quot;&quot;,&quot;Language&quot;:&quot;EN&quot;,&quot;DocumentId&quot;:&quot;a4be13bd-ca01-4256-931f-9aaec572b4ab&quot;,&quot;DateCreated&quot;:&quot;2025-08-24T14:53:20.456Z&quot;,&quot;GenerationActivityId&quot;:&quot;&quot;}"/>
    <we:property name="Features" value="{&quot;LogDomEvents&quot;:false,&quot;LogTelemetry&quot;:true,&quot;ResourceHeadersRefresh&quot;:true}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D7F95B8C-0F10-4DE1-A63B-C4FA21B48A10}">
  <we:reference id="wa200002663" version="1.8.0.0" store="en-US" storeType="OMEX"/>
  <we:alternateReferences>
    <we:reference id="wa200002663" version="1.8.0.0" store="WA200002663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PBF</we:customFunctionIds>
        <we:customFunctionIds>PBM</we:customFunctionIds>
        <we:customFunctionIds>PBD</we:customFunctionIds>
        <we:customFunctionIds>PBA</we:customFunctionIds>
        <we:customFunctionIds>PBS</we:customFunctionIds>
        <we:customFunctionIds>PBEQR</we:customFunctionIds>
        <we:customFunctionIds>PBIMAGE</we:customFunctionIds>
        <we:customFunctionIds>PBFS</we:customFunctionIds>
        <we:customFunctionIds>PBMATCHPBID</we:customFunctionIds>
        <we:customFunctionIds>PBMATCHSYMBOL</we:customFunctionIds>
        <we:customFunctionIds>PBR</we:customFunctionIds>
        <we:customFunctionIds>PBCHARTMARKET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6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3B5E8-56AE-461E-BBCC-75932865A0FF}">
  <sheetPr>
    <tabColor rgb="FF262626"/>
  </sheetPr>
  <dimension ref="B1:M75"/>
  <sheetViews>
    <sheetView tabSelected="1" workbookViewId="0">
      <pane xSplit="14" ySplit="5" topLeftCell="O6" activePane="bottomRight" state="frozen"/>
      <selection pane="topRight" activeCell="N1" sqref="N1"/>
      <selection pane="bottomLeft" activeCell="A6" sqref="A6"/>
      <selection pane="bottomRight" activeCell="E27" sqref="E27:M27"/>
    </sheetView>
  </sheetViews>
  <sheetFormatPr defaultRowHeight="15" x14ac:dyDescent="0.25"/>
  <cols>
    <col min="1" max="1" width="3.5703125" customWidth="1"/>
    <col min="4" max="4" width="12.140625" customWidth="1"/>
    <col min="5" max="5" width="40.140625" customWidth="1"/>
    <col min="6" max="6" width="12.5703125" bestFit="1" customWidth="1"/>
    <col min="7" max="7" width="11.5703125" bestFit="1" customWidth="1"/>
    <col min="8" max="8" width="12.5703125" bestFit="1" customWidth="1"/>
    <col min="9" max="10" width="11.85546875" bestFit="1" customWidth="1"/>
    <col min="11" max="13" width="12.5703125" bestFit="1" customWidth="1"/>
  </cols>
  <sheetData>
    <row r="1" spans="2:13" x14ac:dyDescent="0.25">
      <c r="E1" t="s">
        <v>0</v>
      </c>
    </row>
    <row r="2" spans="2:13" x14ac:dyDescent="0.25">
      <c r="E2" t="s">
        <v>1</v>
      </c>
    </row>
    <row r="3" spans="2:13" x14ac:dyDescent="0.25">
      <c r="E3" t="s">
        <v>2</v>
      </c>
    </row>
    <row r="4" spans="2:13" ht="15.75" thickBot="1" x14ac:dyDescent="0.3">
      <c r="E4" t="s">
        <v>3</v>
      </c>
    </row>
    <row r="5" spans="2:13" ht="18.75" customHeight="1" thickBot="1" x14ac:dyDescent="0.35">
      <c r="E5" s="548"/>
      <c r="F5" s="549">
        <f t="shared" ref="F5:J5" si="0">G5+1</f>
        <v>2024</v>
      </c>
      <c r="G5" s="550">
        <f t="shared" si="0"/>
        <v>2023</v>
      </c>
      <c r="H5" s="550">
        <f t="shared" si="0"/>
        <v>2022</v>
      </c>
      <c r="I5" s="550">
        <f t="shared" si="0"/>
        <v>2021</v>
      </c>
      <c r="J5" s="550">
        <f t="shared" si="0"/>
        <v>2020</v>
      </c>
      <c r="K5" s="550">
        <f>L5+1</f>
        <v>2019</v>
      </c>
      <c r="L5" s="550">
        <f>M5+1</f>
        <v>2018</v>
      </c>
      <c r="M5" s="551">
        <v>2017</v>
      </c>
    </row>
    <row r="6" spans="2:13" x14ac:dyDescent="0.25">
      <c r="E6" s="248" t="s">
        <v>4</v>
      </c>
      <c r="F6" s="249"/>
      <c r="G6" s="249"/>
      <c r="H6" s="250">
        <v>37995.760000000002</v>
      </c>
      <c r="I6" s="250">
        <v>49793.32</v>
      </c>
      <c r="J6" s="251">
        <v>69549.66</v>
      </c>
      <c r="K6" s="251">
        <v>84444.89</v>
      </c>
      <c r="L6" s="251">
        <v>70399.570000000007</v>
      </c>
      <c r="M6" s="251">
        <v>63132.46</v>
      </c>
    </row>
    <row r="7" spans="2:13" x14ac:dyDescent="0.25">
      <c r="E7" s="230" t="s">
        <v>5</v>
      </c>
      <c r="F7" s="224"/>
      <c r="G7" s="224"/>
      <c r="H7" s="226">
        <v>4063.44</v>
      </c>
      <c r="I7" s="226">
        <v>5834.02</v>
      </c>
      <c r="J7" s="225">
        <v>10423.75</v>
      </c>
      <c r="K7" s="225">
        <v>12386.28</v>
      </c>
      <c r="L7" s="225">
        <v>7675.56</v>
      </c>
      <c r="M7" s="225">
        <v>7909.36</v>
      </c>
    </row>
    <row r="8" spans="2:13" x14ac:dyDescent="0.25">
      <c r="E8" s="265"/>
      <c r="F8" s="252"/>
      <c r="G8" s="252"/>
      <c r="H8" s="253"/>
      <c r="I8" s="253"/>
      <c r="J8" s="254"/>
      <c r="K8" s="254"/>
      <c r="L8" s="254"/>
      <c r="M8" s="255"/>
    </row>
    <row r="9" spans="2:13" ht="15.75" thickBot="1" x14ac:dyDescent="0.3">
      <c r="E9" s="265"/>
      <c r="F9" s="252"/>
      <c r="G9" s="252"/>
      <c r="H9" s="253"/>
      <c r="I9" s="253"/>
      <c r="J9" s="254"/>
      <c r="K9" s="254"/>
      <c r="L9" s="254"/>
      <c r="M9" s="255"/>
    </row>
    <row r="10" spans="2:13" ht="19.5" thickBot="1" x14ac:dyDescent="0.35">
      <c r="E10" s="552" t="s">
        <v>6</v>
      </c>
      <c r="F10" s="553"/>
      <c r="G10" s="554"/>
      <c r="H10" s="554"/>
      <c r="I10" s="554"/>
      <c r="J10" s="554"/>
      <c r="K10" s="554"/>
      <c r="L10" s="554"/>
      <c r="M10" s="555"/>
    </row>
    <row r="11" spans="2:13" ht="15.75" thickBot="1" x14ac:dyDescent="0.3">
      <c r="B11" s="270"/>
      <c r="C11" t="s">
        <v>7</v>
      </c>
      <c r="E11" s="256" t="s">
        <v>8</v>
      </c>
      <c r="F11" s="257"/>
      <c r="G11" s="257"/>
      <c r="H11" s="258"/>
      <c r="I11" s="258"/>
      <c r="J11" s="259"/>
      <c r="K11" s="259"/>
      <c r="L11" s="259"/>
      <c r="M11" s="227">
        <f>Robertos!D3-Robertos!D4</f>
        <v>-44581.919999999969</v>
      </c>
    </row>
    <row r="12" spans="2:13" ht="15.75" thickBot="1" x14ac:dyDescent="0.3">
      <c r="E12" s="231" t="s">
        <v>9</v>
      </c>
      <c r="F12" s="226">
        <f>'CB-24'!C6</f>
        <v>153952</v>
      </c>
      <c r="G12" s="226">
        <f>'CB-23'!C6</f>
        <v>38376</v>
      </c>
      <c r="H12" s="226">
        <f>'CB-22'!C6</f>
        <v>365772.34369999997</v>
      </c>
      <c r="I12" s="226">
        <f>'CB-21'!C6</f>
        <v>67285.005033333335</v>
      </c>
      <c r="J12" s="225">
        <f>'CB-20'!C6</f>
        <v>-1569.8499000000002</v>
      </c>
      <c r="K12" s="225">
        <f>'CB-19'!D6</f>
        <v>79825.513399999996</v>
      </c>
      <c r="L12" s="225">
        <f>'CB-18'!C3</f>
        <v>485019.41</v>
      </c>
      <c r="M12" s="225">
        <f>'CB-17'!C6</f>
        <v>334565.41829999996</v>
      </c>
    </row>
    <row r="13" spans="2:13" ht="15.75" thickBot="1" x14ac:dyDescent="0.3">
      <c r="B13" s="269"/>
      <c r="C13" t="s">
        <v>10</v>
      </c>
      <c r="E13" s="231" t="s">
        <v>11</v>
      </c>
      <c r="F13" s="224"/>
      <c r="G13" s="224"/>
      <c r="H13" s="226"/>
      <c r="I13" s="226"/>
      <c r="J13" s="225"/>
      <c r="K13" s="225"/>
      <c r="L13" s="225"/>
      <c r="M13" s="225"/>
    </row>
    <row r="14" spans="2:13" ht="15.75" thickBot="1" x14ac:dyDescent="0.3">
      <c r="E14" s="231" t="s">
        <v>12</v>
      </c>
      <c r="F14" s="252"/>
      <c r="G14" s="252"/>
      <c r="H14" s="253"/>
      <c r="I14" s="253"/>
      <c r="J14" s="254"/>
      <c r="K14" s="254"/>
      <c r="L14" s="254"/>
      <c r="M14" s="255"/>
    </row>
    <row r="15" spans="2:13" ht="19.5" thickBot="1" x14ac:dyDescent="0.35">
      <c r="B15" s="268"/>
      <c r="C15" t="s">
        <v>13</v>
      </c>
      <c r="E15" s="552" t="s">
        <v>14</v>
      </c>
      <c r="F15" s="553"/>
      <c r="G15" s="554"/>
      <c r="H15" s="554"/>
      <c r="I15" s="554"/>
      <c r="J15" s="554"/>
      <c r="K15" s="554"/>
      <c r="L15" s="554"/>
      <c r="M15" s="555"/>
    </row>
    <row r="16" spans="2:13" ht="15.75" thickBot="1" x14ac:dyDescent="0.3">
      <c r="E16" s="231" t="s">
        <v>15</v>
      </c>
      <c r="F16" s="224"/>
      <c r="G16" s="224"/>
      <c r="H16" s="226"/>
      <c r="I16" s="226"/>
      <c r="J16" s="225"/>
      <c r="K16" s="225"/>
      <c r="L16" s="225"/>
      <c r="M16" s="225"/>
    </row>
    <row r="17" spans="2:13" ht="15.75" thickBot="1" x14ac:dyDescent="0.3">
      <c r="B17" s="266"/>
      <c r="C17" t="s">
        <v>16</v>
      </c>
      <c r="E17" s="232" t="s">
        <v>17</v>
      </c>
      <c r="F17" s="224"/>
      <c r="G17" s="224"/>
      <c r="H17" s="226"/>
      <c r="I17" s="226"/>
      <c r="J17" s="225"/>
      <c r="K17" s="225"/>
      <c r="L17" s="225"/>
      <c r="M17" s="225"/>
    </row>
    <row r="18" spans="2:13" ht="15.75" thickBot="1" x14ac:dyDescent="0.3">
      <c r="E18" s="232" t="s">
        <v>18</v>
      </c>
      <c r="F18" s="224"/>
      <c r="G18" s="224"/>
      <c r="H18" s="226"/>
      <c r="I18" s="226"/>
      <c r="J18" s="225"/>
      <c r="K18" s="225"/>
      <c r="L18" s="225"/>
      <c r="M18" s="225"/>
    </row>
    <row r="19" spans="2:13" ht="15.75" thickBot="1" x14ac:dyDescent="0.3">
      <c r="B19" s="267"/>
      <c r="C19" t="s">
        <v>19</v>
      </c>
    </row>
    <row r="21" spans="2:13" x14ac:dyDescent="0.25">
      <c r="E21" s="230" t="s">
        <v>20</v>
      </c>
      <c r="F21" s="224"/>
      <c r="G21" s="224"/>
      <c r="H21" s="226"/>
      <c r="I21" s="226"/>
      <c r="J21" s="228"/>
      <c r="K21" s="228"/>
      <c r="L21" s="228"/>
      <c r="M21" s="228">
        <v>5500</v>
      </c>
    </row>
    <row r="22" spans="2:13" x14ac:dyDescent="0.25">
      <c r="E22" s="230" t="s">
        <v>21</v>
      </c>
      <c r="F22" s="224"/>
      <c r="G22" s="224"/>
      <c r="H22" s="226"/>
      <c r="I22" s="226"/>
      <c r="J22" s="228"/>
      <c r="K22" s="228"/>
      <c r="L22" s="228">
        <v>5500</v>
      </c>
      <c r="M22" s="228">
        <v>5500</v>
      </c>
    </row>
    <row r="23" spans="2:13" x14ac:dyDescent="0.25">
      <c r="E23" s="230" t="s">
        <v>22</v>
      </c>
      <c r="F23" s="224"/>
      <c r="G23" s="224"/>
      <c r="H23" s="226"/>
      <c r="I23" s="226"/>
      <c r="J23" s="225"/>
      <c r="K23" s="225"/>
      <c r="L23" s="225">
        <v>43605.599999999999</v>
      </c>
      <c r="M23" s="228">
        <v>5244.9</v>
      </c>
    </row>
    <row r="24" spans="2:13" x14ac:dyDescent="0.25">
      <c r="E24" s="230" t="s">
        <v>23</v>
      </c>
      <c r="F24" s="224"/>
      <c r="G24" s="224"/>
      <c r="H24" s="226"/>
      <c r="I24" s="226"/>
      <c r="J24" s="225"/>
      <c r="K24" s="225"/>
      <c r="L24" s="225">
        <v>4862.99</v>
      </c>
      <c r="M24" s="228">
        <v>0</v>
      </c>
    </row>
    <row r="25" spans="2:13" x14ac:dyDescent="0.25">
      <c r="E25" s="230" t="s">
        <v>24</v>
      </c>
      <c r="F25" s="224"/>
      <c r="G25" s="224"/>
      <c r="H25" s="226"/>
      <c r="I25" s="226"/>
      <c r="J25" s="225"/>
      <c r="K25" s="225"/>
      <c r="L25" s="225"/>
      <c r="M25" s="228">
        <v>4000</v>
      </c>
    </row>
    <row r="26" spans="2:13" ht="15.75" thickBot="1" x14ac:dyDescent="0.3">
      <c r="E26" s="230"/>
      <c r="F26" s="224"/>
      <c r="G26" s="224"/>
      <c r="H26" s="226"/>
      <c r="I26" s="226"/>
      <c r="J26" s="225"/>
      <c r="K26" s="225"/>
      <c r="L26" s="225"/>
      <c r="M26" s="225"/>
    </row>
    <row r="27" spans="2:13" ht="19.5" thickBot="1" x14ac:dyDescent="0.35">
      <c r="E27" s="552" t="s">
        <v>25</v>
      </c>
      <c r="F27" s="553"/>
      <c r="G27" s="554"/>
      <c r="H27" s="554"/>
      <c r="I27" s="554"/>
      <c r="J27" s="554"/>
      <c r="K27" s="554"/>
      <c r="L27" s="554"/>
      <c r="M27" s="555"/>
    </row>
    <row r="28" spans="2:13" x14ac:dyDescent="0.25">
      <c r="E28" s="246" t="s">
        <v>26</v>
      </c>
      <c r="F28" s="224"/>
      <c r="G28" s="224"/>
      <c r="H28" s="226"/>
      <c r="I28" s="225">
        <v>10516.14</v>
      </c>
      <c r="J28" s="225">
        <v>16431.02</v>
      </c>
      <c r="K28" s="225">
        <v>18719.36</v>
      </c>
      <c r="L28" s="225">
        <v>13698.52</v>
      </c>
      <c r="M28" s="225">
        <v>17619.669999999998</v>
      </c>
    </row>
    <row r="29" spans="2:13" x14ac:dyDescent="0.25">
      <c r="E29" s="246" t="s">
        <v>27</v>
      </c>
      <c r="F29" s="224"/>
      <c r="G29" s="224"/>
      <c r="H29" s="226"/>
      <c r="I29" s="226"/>
      <c r="J29" s="225"/>
      <c r="K29" s="225"/>
      <c r="L29" s="225"/>
      <c r="M29" s="225"/>
    </row>
    <row r="30" spans="2:13" x14ac:dyDescent="0.25">
      <c r="E30" s="246" t="s">
        <v>28</v>
      </c>
      <c r="F30" s="224"/>
      <c r="G30" s="224"/>
      <c r="H30" s="226"/>
      <c r="I30" s="225"/>
      <c r="J30" s="225"/>
      <c r="K30" s="225"/>
      <c r="L30" s="225"/>
      <c r="M30" s="225"/>
    </row>
    <row r="32" spans="2:13" x14ac:dyDescent="0.25">
      <c r="E32" s="230" t="s">
        <v>29</v>
      </c>
      <c r="F32" s="224"/>
      <c r="G32" s="224"/>
      <c r="H32" s="226"/>
      <c r="I32" s="225">
        <v>7271.09</v>
      </c>
      <c r="J32" s="225">
        <v>7191.32</v>
      </c>
      <c r="K32" s="225">
        <v>6633.65</v>
      </c>
      <c r="L32" s="225">
        <v>6191.31</v>
      </c>
      <c r="M32" s="226">
        <v>5009.22</v>
      </c>
    </row>
    <row r="33" spans="5:13" x14ac:dyDescent="0.25">
      <c r="E33" s="230" t="s">
        <v>30</v>
      </c>
      <c r="F33" s="224"/>
      <c r="G33" s="224"/>
      <c r="H33" s="226"/>
      <c r="I33" s="225">
        <v>4110.17</v>
      </c>
      <c r="J33" s="225">
        <v>3186.17</v>
      </c>
      <c r="K33" s="225">
        <v>2724.69</v>
      </c>
      <c r="L33" s="225">
        <v>2761.75</v>
      </c>
      <c r="M33" s="225"/>
    </row>
    <row r="34" spans="5:13" x14ac:dyDescent="0.25">
      <c r="E34" s="230" t="s">
        <v>31</v>
      </c>
      <c r="F34" s="224"/>
      <c r="G34" s="224"/>
      <c r="H34" s="226"/>
      <c r="I34" s="225"/>
      <c r="J34" s="225"/>
      <c r="K34" s="225"/>
      <c r="L34" s="225"/>
      <c r="M34" s="225"/>
    </row>
    <row r="35" spans="5:13" x14ac:dyDescent="0.25">
      <c r="E35" s="230" t="s">
        <v>32</v>
      </c>
      <c r="F35" s="224"/>
      <c r="G35" s="224"/>
      <c r="H35" s="226"/>
      <c r="I35" s="225"/>
      <c r="J35" s="225"/>
      <c r="K35" s="225"/>
      <c r="L35" s="225"/>
      <c r="M35" s="225"/>
    </row>
    <row r="36" spans="5:13" x14ac:dyDescent="0.25">
      <c r="E36" s="230" t="s">
        <v>33</v>
      </c>
      <c r="F36" s="224"/>
      <c r="G36" s="224"/>
      <c r="H36" s="226"/>
      <c r="I36" s="226"/>
      <c r="J36" s="225"/>
      <c r="K36" s="225"/>
      <c r="L36" s="225"/>
      <c r="M36" s="225"/>
    </row>
    <row r="37" spans="5:13" x14ac:dyDescent="0.25">
      <c r="E37" s="230"/>
      <c r="F37" s="224"/>
      <c r="G37" s="224"/>
      <c r="H37" s="226"/>
      <c r="I37" s="226"/>
      <c r="J37" s="225"/>
      <c r="K37" s="225"/>
      <c r="L37" s="225"/>
      <c r="M37" s="225"/>
    </row>
    <row r="38" spans="5:13" x14ac:dyDescent="0.25">
      <c r="E38" s="230"/>
      <c r="F38" s="224"/>
      <c r="G38" s="224"/>
      <c r="H38" s="226"/>
      <c r="I38" s="226"/>
      <c r="J38" s="225"/>
      <c r="K38" s="225"/>
      <c r="L38" s="225"/>
      <c r="M38" s="225"/>
    </row>
    <row r="39" spans="5:13" x14ac:dyDescent="0.25">
      <c r="E39" s="230"/>
      <c r="F39" s="224"/>
      <c r="G39" s="224"/>
      <c r="H39" s="226"/>
      <c r="I39" s="226"/>
      <c r="J39" s="225"/>
      <c r="K39" s="225"/>
      <c r="L39" s="225"/>
      <c r="M39" s="225"/>
    </row>
    <row r="40" spans="5:13" x14ac:dyDescent="0.25">
      <c r="E40" s="230"/>
      <c r="F40" s="224"/>
      <c r="G40" s="224"/>
      <c r="H40" s="226"/>
      <c r="I40" s="226"/>
      <c r="J40" s="225"/>
      <c r="K40" s="225"/>
      <c r="L40" s="225"/>
      <c r="M40" s="225"/>
    </row>
    <row r="41" spans="5:13" x14ac:dyDescent="0.25">
      <c r="E41" s="230" t="s">
        <v>34</v>
      </c>
      <c r="F41" s="224"/>
      <c r="G41" s="224"/>
      <c r="H41" s="226"/>
      <c r="I41" s="226"/>
      <c r="J41" s="225"/>
      <c r="K41" s="225"/>
      <c r="L41" s="225"/>
      <c r="M41" s="227">
        <f>-1*32307.82</f>
        <v>-32307.82</v>
      </c>
    </row>
    <row r="42" spans="5:13" x14ac:dyDescent="0.25">
      <c r="E42" s="230" t="s">
        <v>35</v>
      </c>
      <c r="F42" s="224"/>
      <c r="G42" s="224"/>
      <c r="H42" s="226"/>
      <c r="I42" s="225"/>
      <c r="J42" s="225"/>
      <c r="K42" s="225"/>
      <c r="L42" s="225"/>
      <c r="M42" s="225">
        <v>115.94</v>
      </c>
    </row>
    <row r="43" spans="5:13" x14ac:dyDescent="0.25">
      <c r="E43" s="230"/>
      <c r="F43" s="224"/>
      <c r="G43" s="224"/>
      <c r="H43" s="226"/>
      <c r="I43" s="226"/>
      <c r="J43" s="226"/>
      <c r="K43" s="226"/>
      <c r="L43" s="226"/>
      <c r="M43" s="226"/>
    </row>
    <row r="44" spans="5:13" x14ac:dyDescent="0.25">
      <c r="E44" s="230" t="s">
        <v>36</v>
      </c>
      <c r="F44" s="224"/>
      <c r="G44" s="224" t="s">
        <v>37</v>
      </c>
      <c r="H44" s="226">
        <f>51</f>
        <v>51</v>
      </c>
      <c r="I44" s="226"/>
      <c r="J44" s="225"/>
      <c r="K44" s="225"/>
      <c r="L44" s="225"/>
      <c r="M44" s="225">
        <v>500</v>
      </c>
    </row>
    <row r="45" spans="5:13" x14ac:dyDescent="0.25">
      <c r="E45" s="230"/>
      <c r="F45" s="224"/>
      <c r="G45" s="224"/>
      <c r="H45" s="226"/>
      <c r="I45" s="226"/>
      <c r="J45" s="225"/>
      <c r="K45" s="225"/>
      <c r="L45" s="225"/>
      <c r="M45" s="225"/>
    </row>
    <row r="46" spans="5:13" x14ac:dyDescent="0.25">
      <c r="E46" s="230"/>
      <c r="F46" s="224"/>
      <c r="G46" s="224"/>
      <c r="H46" s="226"/>
      <c r="I46" s="226"/>
      <c r="J46" s="225"/>
      <c r="K46" s="225"/>
      <c r="L46" s="225"/>
      <c r="M46" s="225"/>
    </row>
    <row r="47" spans="5:13" x14ac:dyDescent="0.25">
      <c r="E47" s="230" t="s">
        <v>38</v>
      </c>
      <c r="F47" s="224"/>
      <c r="G47" s="224"/>
      <c r="H47" s="226"/>
      <c r="I47" s="226"/>
      <c r="J47" s="225"/>
      <c r="K47" s="225"/>
      <c r="L47" s="225">
        <v>5800</v>
      </c>
      <c r="M47" s="225">
        <v>4050</v>
      </c>
    </row>
    <row r="48" spans="5:13" x14ac:dyDescent="0.25">
      <c r="E48" s="230"/>
      <c r="F48" s="224"/>
      <c r="G48" s="224"/>
      <c r="H48" s="226"/>
      <c r="I48" s="226"/>
      <c r="J48" s="225"/>
      <c r="K48" s="225"/>
      <c r="L48" s="225"/>
      <c r="M48" s="225"/>
    </row>
    <row r="49" spans="5:13" x14ac:dyDescent="0.25">
      <c r="E49" s="230"/>
      <c r="F49" s="224"/>
      <c r="G49" s="224"/>
      <c r="H49" s="226"/>
      <c r="I49" s="226"/>
      <c r="J49" s="225"/>
      <c r="K49" s="225"/>
      <c r="L49" s="225"/>
      <c r="M49" s="225"/>
    </row>
    <row r="51" spans="5:13" x14ac:dyDescent="0.25">
      <c r="E51" s="230"/>
      <c r="F51" s="224"/>
      <c r="G51" s="224"/>
      <c r="H51" s="224"/>
      <c r="I51" s="224"/>
      <c r="J51" s="229"/>
      <c r="K51" s="229"/>
      <c r="L51" s="229"/>
      <c r="M51" s="229"/>
    </row>
    <row r="52" spans="5:13" x14ac:dyDescent="0.25">
      <c r="E52" s="230"/>
      <c r="F52" s="224"/>
      <c r="G52" s="224"/>
      <c r="H52" s="224"/>
      <c r="I52" s="224"/>
      <c r="J52" s="229"/>
      <c r="K52" s="229"/>
      <c r="L52" s="229"/>
      <c r="M52" s="229"/>
    </row>
    <row r="53" spans="5:13" x14ac:dyDescent="0.25">
      <c r="E53" s="230"/>
      <c r="F53" s="224"/>
      <c r="G53" s="224"/>
      <c r="H53" s="224"/>
      <c r="I53" s="224"/>
      <c r="J53" s="229"/>
      <c r="K53" s="229"/>
      <c r="L53" s="229"/>
      <c r="M53" s="229"/>
    </row>
    <row r="54" spans="5:13" x14ac:dyDescent="0.25">
      <c r="E54" s="230"/>
      <c r="F54" s="224"/>
      <c r="G54" s="224"/>
      <c r="H54" s="224"/>
      <c r="I54" s="224"/>
      <c r="J54" s="229"/>
      <c r="K54" s="229"/>
      <c r="L54" s="229"/>
      <c r="M54" s="229"/>
    </row>
    <row r="55" spans="5:13" x14ac:dyDescent="0.25">
      <c r="E55" s="230"/>
      <c r="F55" s="224"/>
      <c r="G55" s="224"/>
      <c r="H55" s="224"/>
      <c r="I55" s="224"/>
      <c r="J55" s="229"/>
      <c r="K55" s="229"/>
      <c r="L55" s="229"/>
      <c r="M55" s="229"/>
    </row>
    <row r="56" spans="5:13" x14ac:dyDescent="0.25">
      <c r="E56" s="230"/>
      <c r="F56" s="224"/>
      <c r="G56" s="224"/>
      <c r="H56" s="224"/>
      <c r="I56" s="224"/>
      <c r="J56" s="224"/>
      <c r="K56" s="224"/>
      <c r="L56" s="224"/>
      <c r="M56" s="224"/>
    </row>
    <row r="57" spans="5:13" x14ac:dyDescent="0.25">
      <c r="E57" s="230"/>
      <c r="F57" s="224"/>
      <c r="G57" s="224"/>
      <c r="H57" s="224"/>
      <c r="I57" s="224"/>
      <c r="J57" s="224"/>
      <c r="K57" s="224"/>
      <c r="L57" s="224"/>
      <c r="M57" s="224"/>
    </row>
    <row r="58" spans="5:13" ht="15.75" thickBot="1" x14ac:dyDescent="0.3">
      <c r="E58" s="233"/>
      <c r="F58" s="234"/>
      <c r="G58" s="234"/>
      <c r="H58" s="234"/>
      <c r="I58" s="234"/>
      <c r="J58" s="234"/>
      <c r="K58" s="234"/>
      <c r="L58" s="234"/>
      <c r="M58" s="234"/>
    </row>
    <row r="75" spans="9:9" x14ac:dyDescent="0.25">
      <c r="I75">
        <v>7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5C948-2097-494A-8A7B-14FB833E324B}">
  <sheetPr>
    <tabColor rgb="FF00B0F0"/>
  </sheetPr>
  <dimension ref="C2:D3"/>
  <sheetViews>
    <sheetView workbookViewId="0">
      <selection activeCell="T23" sqref="T23"/>
    </sheetView>
  </sheetViews>
  <sheetFormatPr defaultRowHeight="15" x14ac:dyDescent="0.25"/>
  <cols>
    <col min="3" max="3" width="12.7109375" bestFit="1" customWidth="1"/>
  </cols>
  <sheetData>
    <row r="2" spans="3:4" x14ac:dyDescent="0.25">
      <c r="C2" t="s">
        <v>39</v>
      </c>
    </row>
    <row r="3" spans="3:4" x14ac:dyDescent="0.25">
      <c r="C3" t="s">
        <v>40</v>
      </c>
      <c r="D3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3AF9C-82FA-419F-A1A0-34392300613E}">
  <sheetPr>
    <tabColor theme="9"/>
  </sheetPr>
  <dimension ref="A1"/>
  <sheetViews>
    <sheetView workbookViewId="0">
      <selection activeCell="N26" sqref="N26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2BC26-7B0C-4B3E-BCF0-0EC226E8A6CA}">
  <sheetPr>
    <tabColor rgb="FFC00000"/>
  </sheetPr>
  <dimension ref="A1:W61"/>
  <sheetViews>
    <sheetView topLeftCell="B1" workbookViewId="0">
      <pane xSplit="21" ySplit="2" topLeftCell="AA3" activePane="bottomRight" state="frozen"/>
      <selection pane="topRight"/>
      <selection pane="bottomLeft"/>
      <selection pane="bottomRight" activeCell="C5" sqref="C5"/>
    </sheetView>
  </sheetViews>
  <sheetFormatPr defaultRowHeight="15" x14ac:dyDescent="0.25"/>
  <cols>
    <col min="1" max="1" width="8.7109375" bestFit="1" customWidth="1"/>
    <col min="2" max="2" width="26.85546875" customWidth="1"/>
    <col min="3" max="3" width="12" bestFit="1" customWidth="1"/>
    <col min="4" max="4" width="10.85546875" style="1" bestFit="1" customWidth="1"/>
    <col min="5" max="5" width="8.28515625" style="1" bestFit="1" customWidth="1"/>
    <col min="6" max="6" width="11" style="42" bestFit="1" customWidth="1"/>
    <col min="7" max="7" width="11.5703125" bestFit="1" customWidth="1"/>
    <col min="8" max="8" width="11.85546875" bestFit="1" customWidth="1"/>
    <col min="9" max="18" width="12.5703125" bestFit="1" customWidth="1"/>
    <col min="19" max="19" width="1.5703125" style="557" customWidth="1"/>
    <col min="20" max="20" width="7.42578125" style="113" bestFit="1" customWidth="1"/>
    <col min="21" max="21" width="10.5703125" bestFit="1" customWidth="1"/>
    <col min="22" max="22" width="9.5703125" customWidth="1"/>
    <col min="23" max="23" width="14.7109375" customWidth="1"/>
  </cols>
  <sheetData>
    <row r="1" spans="2:23" ht="15.75" thickBot="1" x14ac:dyDescent="0.3">
      <c r="B1" s="264">
        <f>Summary!F5</f>
        <v>2024</v>
      </c>
      <c r="C1" s="261"/>
      <c r="D1" s="558"/>
      <c r="E1" s="559"/>
      <c r="F1" s="559"/>
      <c r="G1" s="556" t="str">
        <f>"CLOUDBAUD CONSULTING "&amp; Summary!F5 &amp; " ONLY"</f>
        <v>CLOUDBAUD CONSULTING 2024 ONLY</v>
      </c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</row>
    <row r="2" spans="2:23" x14ac:dyDescent="0.25">
      <c r="B2" s="76"/>
      <c r="C2" s="3"/>
      <c r="D2" s="190"/>
      <c r="E2" s="190"/>
      <c r="F2" s="181" t="s">
        <v>41</v>
      </c>
      <c r="G2" s="181" t="s">
        <v>42</v>
      </c>
      <c r="H2" s="182" t="s">
        <v>43</v>
      </c>
      <c r="I2" s="182" t="s">
        <v>44</v>
      </c>
      <c r="J2" s="182" t="s">
        <v>45</v>
      </c>
      <c r="K2" s="182" t="s">
        <v>46</v>
      </c>
      <c r="L2" s="182" t="s">
        <v>47</v>
      </c>
      <c r="M2" s="182" t="s">
        <v>48</v>
      </c>
      <c r="N2" s="182" t="s">
        <v>49</v>
      </c>
      <c r="O2" s="182" t="s">
        <v>50</v>
      </c>
      <c r="P2" s="182" t="s">
        <v>51</v>
      </c>
      <c r="Q2" s="182" t="s">
        <v>52</v>
      </c>
      <c r="R2" s="183" t="s">
        <v>53</v>
      </c>
      <c r="T2" s="119" t="s">
        <v>54</v>
      </c>
      <c r="U2" s="120" t="s">
        <v>55</v>
      </c>
      <c r="V2" s="120" t="s">
        <v>56</v>
      </c>
      <c r="W2" s="120" t="s">
        <v>57</v>
      </c>
    </row>
    <row r="3" spans="2:23" x14ac:dyDescent="0.25">
      <c r="B3" s="483" t="str">
        <f>'CB-17'!B3</f>
        <v>CONSULTING REVENUE</v>
      </c>
      <c r="C3" s="485">
        <f>F3</f>
        <v>153952</v>
      </c>
      <c r="D3" s="338"/>
      <c r="E3" s="339"/>
      <c r="F3" s="340">
        <f>SUM(G3:R3)</f>
        <v>153952</v>
      </c>
      <c r="G3" s="341">
        <f>8496</f>
        <v>8496</v>
      </c>
      <c r="H3" s="341">
        <v>0</v>
      </c>
      <c r="I3" s="341">
        <f>7168</f>
        <v>7168</v>
      </c>
      <c r="J3" s="341">
        <f>18816</f>
        <v>18816</v>
      </c>
      <c r="K3" s="341">
        <v>0</v>
      </c>
      <c r="L3" s="341">
        <f>6272+15840</f>
        <v>22112</v>
      </c>
      <c r="M3" s="342">
        <f>19712</f>
        <v>19712</v>
      </c>
      <c r="N3" s="342">
        <f>17600+1792</f>
        <v>19392</v>
      </c>
      <c r="O3" s="342">
        <v>38720</v>
      </c>
      <c r="P3" s="342">
        <v>19536</v>
      </c>
      <c r="Q3" s="342">
        <v>0</v>
      </c>
      <c r="R3" s="342">
        <v>0</v>
      </c>
      <c r="T3" s="114"/>
      <c r="U3" s="115"/>
      <c r="V3" s="116"/>
      <c r="W3" s="117"/>
    </row>
    <row r="4" spans="2:23" x14ac:dyDescent="0.25">
      <c r="B4" s="343"/>
      <c r="C4" s="344"/>
      <c r="D4" s="345"/>
      <c r="E4" s="345"/>
      <c r="F4" s="346" t="s">
        <v>58</v>
      </c>
      <c r="G4" s="340">
        <f>G3</f>
        <v>8496</v>
      </c>
      <c r="H4" s="340">
        <f>G4+H3</f>
        <v>8496</v>
      </c>
      <c r="I4" s="340">
        <f>H4+I3</f>
        <v>15664</v>
      </c>
      <c r="J4" s="340">
        <f t="shared" ref="J4:R4" si="0">I4+J3</f>
        <v>34480</v>
      </c>
      <c r="K4" s="340">
        <f t="shared" si="0"/>
        <v>34480</v>
      </c>
      <c r="L4" s="340">
        <f t="shared" si="0"/>
        <v>56592</v>
      </c>
      <c r="M4" s="340">
        <f t="shared" si="0"/>
        <v>76304</v>
      </c>
      <c r="N4" s="340">
        <f t="shared" si="0"/>
        <v>95696</v>
      </c>
      <c r="O4" s="340">
        <f t="shared" si="0"/>
        <v>134416</v>
      </c>
      <c r="P4" s="340">
        <f t="shared" si="0"/>
        <v>153952</v>
      </c>
      <c r="Q4" s="340">
        <f t="shared" si="0"/>
        <v>153952</v>
      </c>
      <c r="R4" s="340">
        <f t="shared" si="0"/>
        <v>153952</v>
      </c>
      <c r="T4"/>
      <c r="V4" s="215"/>
    </row>
    <row r="5" spans="2:23" x14ac:dyDescent="0.25">
      <c r="B5" s="482" t="str">
        <f>'CB-17'!B5</f>
        <v>TOTAL EXPENSES</v>
      </c>
      <c r="C5" s="425">
        <f>C7+C20+C27+C76+C35+C59+C45+C62+C67+C71</f>
        <v>0</v>
      </c>
      <c r="D5" s="333"/>
      <c r="E5" s="334"/>
      <c r="F5" s="335"/>
      <c r="G5" s="336"/>
      <c r="H5" s="333"/>
      <c r="I5" s="333"/>
      <c r="J5" s="333"/>
      <c r="K5" s="333"/>
      <c r="L5" s="333"/>
      <c r="M5" s="333"/>
      <c r="N5" s="333"/>
      <c r="O5" s="333"/>
      <c r="P5" s="333"/>
      <c r="Q5" s="333"/>
      <c r="R5" s="337"/>
      <c r="T5"/>
      <c r="V5" s="215"/>
    </row>
    <row r="6" spans="2:23" x14ac:dyDescent="0.25">
      <c r="B6" s="484" t="str">
        <f>'CB-17'!B6</f>
        <v>NET REVENUE</v>
      </c>
      <c r="C6" s="358">
        <f>C3-C5</f>
        <v>153952</v>
      </c>
      <c r="T6"/>
      <c r="V6" s="215"/>
    </row>
    <row r="7" spans="2:23" x14ac:dyDescent="0.25">
      <c r="B7" s="330" t="s">
        <v>59</v>
      </c>
      <c r="C7" s="331">
        <f>SUM(D8:D14)</f>
        <v>0</v>
      </c>
      <c r="D7" s="332" t="s">
        <v>60</v>
      </c>
      <c r="E7" s="332" t="s">
        <v>61</v>
      </c>
      <c r="F7" s="332" t="s">
        <v>62</v>
      </c>
      <c r="G7" s="184">
        <f>SUM(G8:G14)</f>
        <v>0</v>
      </c>
      <c r="H7" s="180">
        <f t="shared" ref="H7:R7" si="1">SUM(H8:H14)</f>
        <v>0</v>
      </c>
      <c r="I7" s="180">
        <f t="shared" si="1"/>
        <v>0</v>
      </c>
      <c r="J7" s="180">
        <f t="shared" si="1"/>
        <v>0</v>
      </c>
      <c r="K7" s="180">
        <f t="shared" si="1"/>
        <v>0</v>
      </c>
      <c r="L7" s="180">
        <f t="shared" si="1"/>
        <v>0</v>
      </c>
      <c r="M7" s="180">
        <f t="shared" si="1"/>
        <v>0</v>
      </c>
      <c r="N7" s="180">
        <f t="shared" si="1"/>
        <v>0</v>
      </c>
      <c r="O7" s="180">
        <f t="shared" si="1"/>
        <v>0</v>
      </c>
      <c r="P7" s="180">
        <f t="shared" si="1"/>
        <v>0</v>
      </c>
      <c r="Q7" s="180">
        <f t="shared" si="1"/>
        <v>0</v>
      </c>
      <c r="R7" s="185">
        <f t="shared" si="1"/>
        <v>0</v>
      </c>
      <c r="T7"/>
    </row>
    <row r="8" spans="2:23" x14ac:dyDescent="0.25">
      <c r="B8" s="132" t="s">
        <v>63</v>
      </c>
      <c r="C8" s="148"/>
      <c r="D8" s="149">
        <f t="shared" ref="D8:D14" si="2">E8*F8</f>
        <v>0</v>
      </c>
      <c r="E8" s="178">
        <v>0.17</v>
      </c>
      <c r="F8" s="150">
        <f t="shared" ref="F8:F14" si="3">SUM(G8:R8)</f>
        <v>0</v>
      </c>
      <c r="G8" s="145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7"/>
      <c r="T8"/>
    </row>
    <row r="9" spans="2:23" x14ac:dyDescent="0.25">
      <c r="B9" s="132" t="s">
        <v>64</v>
      </c>
      <c r="C9" s="148"/>
      <c r="D9" s="149">
        <f t="shared" si="2"/>
        <v>0</v>
      </c>
      <c r="E9" s="178">
        <v>0.17</v>
      </c>
      <c r="F9" s="150">
        <f t="shared" si="3"/>
        <v>0</v>
      </c>
      <c r="G9" s="145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7"/>
      <c r="T9"/>
    </row>
    <row r="10" spans="2:23" x14ac:dyDescent="0.25">
      <c r="B10" s="132" t="s">
        <v>65</v>
      </c>
      <c r="C10" s="148"/>
      <c r="D10" s="149">
        <f t="shared" si="2"/>
        <v>0</v>
      </c>
      <c r="E10" s="178">
        <v>0.17</v>
      </c>
      <c r="F10" s="150">
        <f t="shared" si="3"/>
        <v>0</v>
      </c>
      <c r="G10" s="145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7"/>
      <c r="T10"/>
    </row>
    <row r="11" spans="2:23" x14ac:dyDescent="0.25">
      <c r="B11" s="132" t="s">
        <v>66</v>
      </c>
      <c r="C11" s="148"/>
      <c r="D11" s="149">
        <f t="shared" si="2"/>
        <v>0</v>
      </c>
      <c r="E11" s="178">
        <v>0.17</v>
      </c>
      <c r="F11" s="150">
        <f t="shared" si="3"/>
        <v>0</v>
      </c>
      <c r="G11" s="145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7"/>
      <c r="T11"/>
    </row>
    <row r="12" spans="2:23" x14ac:dyDescent="0.25">
      <c r="B12" s="132" t="s">
        <v>67</v>
      </c>
      <c r="C12" s="148"/>
      <c r="D12" s="149">
        <f t="shared" si="2"/>
        <v>0</v>
      </c>
      <c r="E12" s="178">
        <v>0.17</v>
      </c>
      <c r="F12" s="150">
        <f t="shared" si="3"/>
        <v>0</v>
      </c>
      <c r="G12" s="145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7"/>
      <c r="T12"/>
    </row>
    <row r="13" spans="2:23" x14ac:dyDescent="0.25">
      <c r="B13" s="132" t="s">
        <v>68</v>
      </c>
      <c r="C13" s="148"/>
      <c r="D13" s="149">
        <f t="shared" si="2"/>
        <v>0</v>
      </c>
      <c r="E13" s="178">
        <v>0.17</v>
      </c>
      <c r="F13" s="150">
        <f t="shared" si="3"/>
        <v>0</v>
      </c>
      <c r="G13" s="145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7"/>
      <c r="T13"/>
    </row>
    <row r="14" spans="2:23" x14ac:dyDescent="0.25">
      <c r="B14" s="133" t="s">
        <v>69</v>
      </c>
      <c r="C14" s="151"/>
      <c r="D14" s="152">
        <f t="shared" si="2"/>
        <v>0</v>
      </c>
      <c r="E14" s="179">
        <v>0.17</v>
      </c>
      <c r="F14" s="153">
        <f t="shared" si="3"/>
        <v>0</v>
      </c>
      <c r="G14" s="186"/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5"/>
      <c r="T14"/>
    </row>
    <row r="15" spans="2:23" x14ac:dyDescent="0.25">
      <c r="B15" s="132"/>
      <c r="C15" s="148"/>
      <c r="D15" s="149"/>
      <c r="E15" s="178"/>
      <c r="F15" s="150"/>
      <c r="G15" s="145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7"/>
      <c r="T15"/>
    </row>
    <row r="16" spans="2:23" x14ac:dyDescent="0.25">
      <c r="B16" s="14" t="s">
        <v>70</v>
      </c>
      <c r="C16" s="140">
        <f>D16</f>
        <v>0</v>
      </c>
      <c r="D16" s="141">
        <f>F16*E16</f>
        <v>0</v>
      </c>
      <c r="E16" s="178">
        <v>0.5</v>
      </c>
      <c r="F16" s="142">
        <f>SUM(G16:R16)</f>
        <v>0</v>
      </c>
      <c r="G16" s="145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7"/>
      <c r="T16"/>
    </row>
    <row r="17" spans="2:20" x14ac:dyDescent="0.25">
      <c r="B17" s="14" t="s">
        <v>71</v>
      </c>
      <c r="C17" s="140"/>
      <c r="D17" s="141"/>
      <c r="E17" s="178">
        <v>1</v>
      </c>
      <c r="F17" s="139"/>
      <c r="G17" s="145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7"/>
      <c r="T17"/>
    </row>
    <row r="18" spans="2:20" x14ac:dyDescent="0.25">
      <c r="B18" s="14"/>
      <c r="C18" s="140"/>
      <c r="D18" s="141"/>
      <c r="E18" s="178"/>
      <c r="F18" s="139"/>
      <c r="G18" s="145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7"/>
      <c r="T18"/>
    </row>
    <row r="19" spans="2:20" x14ac:dyDescent="0.25">
      <c r="B19" s="14" t="s">
        <v>72</v>
      </c>
      <c r="C19" s="142">
        <f t="shared" ref="C19:C26" si="4">F19</f>
        <v>0</v>
      </c>
      <c r="D19" s="141"/>
      <c r="E19" s="178">
        <v>1</v>
      </c>
      <c r="F19" s="142">
        <f>SUM(G19:R19)</f>
        <v>0</v>
      </c>
      <c r="G19" s="145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7"/>
      <c r="T19"/>
    </row>
    <row r="20" spans="2:20" x14ac:dyDescent="0.25">
      <c r="B20" s="14" t="s">
        <v>73</v>
      </c>
      <c r="C20" s="142">
        <f t="shared" si="4"/>
        <v>0</v>
      </c>
      <c r="D20" s="141"/>
      <c r="E20" s="178">
        <v>1</v>
      </c>
      <c r="F20" s="142">
        <f>SUM(G20:R20)</f>
        <v>0</v>
      </c>
      <c r="G20" s="145"/>
      <c r="H20" s="146"/>
      <c r="I20" s="150"/>
      <c r="J20" s="156"/>
      <c r="K20" s="146"/>
      <c r="L20" s="146"/>
      <c r="M20" s="146"/>
      <c r="N20" s="146"/>
      <c r="O20" s="146"/>
      <c r="P20" s="146"/>
      <c r="Q20" s="146"/>
      <c r="R20" s="147"/>
      <c r="T20"/>
    </row>
    <row r="21" spans="2:20" x14ac:dyDescent="0.25">
      <c r="B21" s="14" t="s">
        <v>74</v>
      </c>
      <c r="C21" s="142">
        <f t="shared" si="4"/>
        <v>0</v>
      </c>
      <c r="D21" s="141"/>
      <c r="E21" s="178">
        <v>1</v>
      </c>
      <c r="F21" s="142">
        <f>SUM(G21:R21)</f>
        <v>0</v>
      </c>
      <c r="G21" s="145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7"/>
      <c r="T21"/>
    </row>
    <row r="22" spans="2:20" x14ac:dyDescent="0.25">
      <c r="B22" s="14" t="s">
        <v>75</v>
      </c>
      <c r="C22" s="142">
        <f t="shared" si="4"/>
        <v>0</v>
      </c>
      <c r="D22" s="141"/>
      <c r="E22" s="178">
        <v>1</v>
      </c>
      <c r="F22" s="142">
        <f>SUM(G22:R22)</f>
        <v>0</v>
      </c>
      <c r="G22" s="145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7"/>
      <c r="T22"/>
    </row>
    <row r="23" spans="2:20" x14ac:dyDescent="0.25">
      <c r="B23" s="14" t="s">
        <v>76</v>
      </c>
      <c r="C23" s="142"/>
      <c r="D23" s="141"/>
      <c r="E23" s="178"/>
      <c r="F23" s="142"/>
      <c r="G23" s="145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7"/>
      <c r="T23"/>
    </row>
    <row r="24" spans="2:20" x14ac:dyDescent="0.25">
      <c r="B24" s="14" t="s">
        <v>77</v>
      </c>
      <c r="C24" s="142">
        <f t="shared" si="4"/>
        <v>0</v>
      </c>
      <c r="D24" s="141"/>
      <c r="E24" s="178">
        <v>1</v>
      </c>
      <c r="F24" s="142"/>
      <c r="G24" s="145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7"/>
      <c r="T24"/>
    </row>
    <row r="25" spans="2:20" x14ac:dyDescent="0.25">
      <c r="B25" s="14" t="s">
        <v>78</v>
      </c>
      <c r="C25" s="142">
        <f t="shared" si="4"/>
        <v>40.340000000000003</v>
      </c>
      <c r="D25" s="141"/>
      <c r="E25" s="178">
        <v>1</v>
      </c>
      <c r="F25" s="142">
        <f>SUM(G25:R25)</f>
        <v>40.340000000000003</v>
      </c>
      <c r="G25" s="145"/>
      <c r="H25" s="146">
        <v>40.340000000000003</v>
      </c>
      <c r="I25" s="146"/>
      <c r="J25" s="146"/>
      <c r="K25" s="146"/>
      <c r="L25" s="146"/>
      <c r="M25" s="146"/>
      <c r="N25" s="146"/>
      <c r="O25" s="146"/>
      <c r="P25" s="146"/>
      <c r="Q25" s="146"/>
      <c r="R25" s="147"/>
      <c r="T25"/>
    </row>
    <row r="26" spans="2:20" ht="15.75" thickBot="1" x14ac:dyDescent="0.3">
      <c r="B26" s="14" t="s">
        <v>79</v>
      </c>
      <c r="C26" s="142">
        <f t="shared" si="4"/>
        <v>0</v>
      </c>
      <c r="D26" s="141"/>
      <c r="E26" s="178">
        <v>1</v>
      </c>
      <c r="F26" s="142">
        <f>SUM(G26:R26)</f>
        <v>0</v>
      </c>
      <c r="G26" s="145"/>
      <c r="H26" s="142"/>
      <c r="I26" s="146"/>
      <c r="J26" s="146"/>
      <c r="K26" s="146"/>
      <c r="L26" s="146"/>
      <c r="M26" s="146"/>
      <c r="N26" s="146"/>
      <c r="O26" s="146"/>
      <c r="P26" s="146"/>
      <c r="Q26" s="146"/>
      <c r="R26" s="147"/>
      <c r="T26"/>
    </row>
    <row r="27" spans="2:20" x14ac:dyDescent="0.25">
      <c r="B27" s="136" t="s">
        <v>80</v>
      </c>
      <c r="C27" s="157">
        <f>SUM(F28:F31)</f>
        <v>0</v>
      </c>
      <c r="D27" s="158"/>
      <c r="E27" s="177" t="s">
        <v>61</v>
      </c>
      <c r="F27" s="157"/>
      <c r="G27" s="160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2"/>
      <c r="T27"/>
    </row>
    <row r="28" spans="2:20" x14ac:dyDescent="0.25">
      <c r="B28" s="132"/>
      <c r="C28" s="148"/>
      <c r="D28" s="141">
        <f>F28*E28</f>
        <v>0</v>
      </c>
      <c r="E28" s="178">
        <v>1</v>
      </c>
      <c r="F28" s="142">
        <f>SUM(G28:R28)</f>
        <v>0</v>
      </c>
      <c r="G28" s="145"/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7"/>
      <c r="T28"/>
    </row>
    <row r="29" spans="2:20" hidden="1" x14ac:dyDescent="0.25">
      <c r="B29" s="132"/>
      <c r="C29" s="148"/>
      <c r="D29" s="141">
        <f t="shared" ref="D29:D31" si="5">F29*E29</f>
        <v>0</v>
      </c>
      <c r="E29" s="178">
        <v>1</v>
      </c>
      <c r="F29" s="142">
        <f>SUM(G29:R29)</f>
        <v>0</v>
      </c>
      <c r="G29" s="145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7"/>
      <c r="T29"/>
    </row>
    <row r="30" spans="2:20" x14ac:dyDescent="0.25">
      <c r="B30" s="132"/>
      <c r="C30" s="148"/>
      <c r="D30" s="141">
        <f t="shared" si="5"/>
        <v>0</v>
      </c>
      <c r="E30" s="178">
        <v>1</v>
      </c>
      <c r="F30" s="142">
        <f>SUM(G30:R30)</f>
        <v>0</v>
      </c>
      <c r="G30" s="145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7"/>
      <c r="T30"/>
    </row>
    <row r="31" spans="2:20" ht="15.75" thickBot="1" x14ac:dyDescent="0.3">
      <c r="B31" s="137"/>
      <c r="C31" s="163"/>
      <c r="D31" s="141">
        <f t="shared" si="5"/>
        <v>0</v>
      </c>
      <c r="E31" s="178">
        <v>1</v>
      </c>
      <c r="F31" s="165">
        <f>SUM(H31:R31)</f>
        <v>0</v>
      </c>
      <c r="G31" s="166"/>
      <c r="H31" s="167"/>
      <c r="I31" s="167"/>
      <c r="J31" s="167"/>
      <c r="K31" s="167"/>
      <c r="L31" s="167"/>
      <c r="M31" s="167"/>
      <c r="N31" s="167"/>
      <c r="O31" s="167"/>
      <c r="P31" s="167"/>
      <c r="Q31" s="167"/>
      <c r="R31" s="168"/>
      <c r="T31"/>
    </row>
    <row r="32" spans="2:20" x14ac:dyDescent="0.25">
      <c r="B32" s="14"/>
      <c r="C32" s="140"/>
      <c r="D32" s="141"/>
      <c r="E32" s="141"/>
      <c r="F32" s="142"/>
      <c r="G32" s="145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7"/>
      <c r="T32"/>
    </row>
    <row r="33" spans="1:23" x14ac:dyDescent="0.25">
      <c r="A33" t="s">
        <v>81</v>
      </c>
      <c r="B33" s="14" t="s">
        <v>82</v>
      </c>
      <c r="C33" s="140"/>
      <c r="D33" s="141"/>
      <c r="E33" s="141"/>
      <c r="F33" s="142">
        <f t="shared" ref="F33:F57" si="6">SUM(G33:R33)</f>
        <v>0</v>
      </c>
      <c r="G33" s="145"/>
      <c r="H33" s="244"/>
      <c r="I33" s="146"/>
      <c r="J33" s="146"/>
      <c r="K33" s="146"/>
      <c r="L33" s="146"/>
      <c r="M33" s="146"/>
      <c r="N33" s="146"/>
      <c r="O33" s="146"/>
      <c r="P33" s="146"/>
      <c r="Q33" s="146"/>
      <c r="R33" s="147"/>
      <c r="T33"/>
    </row>
    <row r="34" spans="1:23" hidden="1" x14ac:dyDescent="0.25">
      <c r="A34" t="s">
        <v>83</v>
      </c>
      <c r="B34" s="14" t="s">
        <v>84</v>
      </c>
      <c r="C34" s="140"/>
      <c r="D34" s="141"/>
      <c r="E34" s="176">
        <v>0.5</v>
      </c>
      <c r="F34" s="142">
        <f t="shared" si="6"/>
        <v>0</v>
      </c>
      <c r="G34" s="145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7"/>
      <c r="T34"/>
    </row>
    <row r="35" spans="1:23" x14ac:dyDescent="0.25">
      <c r="A35" t="s">
        <v>85</v>
      </c>
      <c r="B35" s="14" t="s">
        <v>86</v>
      </c>
      <c r="C35" s="140"/>
      <c r="D35" s="141"/>
      <c r="E35" s="141"/>
      <c r="F35" s="142">
        <f t="shared" si="6"/>
        <v>0</v>
      </c>
      <c r="G35" s="145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7"/>
      <c r="T35"/>
    </row>
    <row r="36" spans="1:23" x14ac:dyDescent="0.25">
      <c r="A36" t="s">
        <v>87</v>
      </c>
      <c r="B36" s="14" t="s">
        <v>88</v>
      </c>
      <c r="C36" s="140"/>
      <c r="D36" s="141"/>
      <c r="E36" s="141"/>
      <c r="F36" s="142">
        <f t="shared" si="6"/>
        <v>0</v>
      </c>
      <c r="G36" s="145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7"/>
      <c r="T36"/>
    </row>
    <row r="37" spans="1:23" x14ac:dyDescent="0.25">
      <c r="A37" t="s">
        <v>89</v>
      </c>
      <c r="B37" s="14" t="s">
        <v>90</v>
      </c>
      <c r="C37" s="140">
        <f>E37</f>
        <v>0</v>
      </c>
      <c r="D37" s="141"/>
      <c r="E37" s="142">
        <f>SUM(G37:R37)</f>
        <v>0</v>
      </c>
      <c r="F37" s="139"/>
      <c r="G37" s="145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7"/>
      <c r="T37"/>
    </row>
    <row r="38" spans="1:23" ht="15.75" thickBot="1" x14ac:dyDescent="0.3">
      <c r="B38" s="14" t="s">
        <v>91</v>
      </c>
      <c r="C38" s="140">
        <f>E38</f>
        <v>0</v>
      </c>
      <c r="D38" s="141"/>
      <c r="E38" s="142">
        <f>SUM(G38:R38)</f>
        <v>0</v>
      </c>
      <c r="F38" s="139"/>
      <c r="G38" s="145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7"/>
      <c r="T38"/>
    </row>
    <row r="39" spans="1:23" x14ac:dyDescent="0.25">
      <c r="B39" s="136" t="s">
        <v>92</v>
      </c>
      <c r="C39" s="157">
        <f>SUM(F40:F43)</f>
        <v>800</v>
      </c>
      <c r="D39" s="158"/>
      <c r="E39" s="158"/>
      <c r="F39" s="157"/>
      <c r="G39" s="169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1"/>
      <c r="T39"/>
    </row>
    <row r="40" spans="1:23" x14ac:dyDescent="0.25">
      <c r="B40" s="132" t="s">
        <v>93</v>
      </c>
      <c r="C40" s="140"/>
      <c r="D40" s="141"/>
      <c r="E40" s="141"/>
      <c r="F40" s="142">
        <f t="shared" si="6"/>
        <v>0</v>
      </c>
      <c r="G40" s="145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7"/>
      <c r="T40" s="128">
        <v>3044</v>
      </c>
      <c r="U40" s="129">
        <v>330</v>
      </c>
      <c r="V40" s="131">
        <v>44766</v>
      </c>
      <c r="W40" s="130" t="s">
        <v>94</v>
      </c>
    </row>
    <row r="41" spans="1:23" x14ac:dyDescent="0.25">
      <c r="B41" s="132" t="s">
        <v>95</v>
      </c>
      <c r="C41" s="140"/>
      <c r="D41" s="141"/>
      <c r="E41" s="141"/>
      <c r="F41" s="142">
        <f t="shared" si="6"/>
        <v>0</v>
      </c>
      <c r="G41" s="145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7"/>
      <c r="T41" s="114">
        <v>3583</v>
      </c>
      <c r="U41" s="115">
        <v>300</v>
      </c>
      <c r="V41" s="116">
        <v>44745</v>
      </c>
      <c r="W41" s="117" t="s">
        <v>96</v>
      </c>
    </row>
    <row r="42" spans="1:23" x14ac:dyDescent="0.25">
      <c r="B42" s="132" t="s">
        <v>97</v>
      </c>
      <c r="C42" s="140"/>
      <c r="D42" s="141"/>
      <c r="E42" s="141"/>
      <c r="F42" s="142">
        <f t="shared" si="6"/>
        <v>0</v>
      </c>
      <c r="G42" s="145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7"/>
      <c r="T42" s="128">
        <v>9917</v>
      </c>
      <c r="U42" s="129">
        <v>200</v>
      </c>
      <c r="V42" s="131">
        <v>44760</v>
      </c>
      <c r="W42" s="130" t="s">
        <v>98</v>
      </c>
    </row>
    <row r="43" spans="1:23" ht="15.75" thickBot="1" x14ac:dyDescent="0.3">
      <c r="B43" s="137" t="s">
        <v>99</v>
      </c>
      <c r="C43" s="172"/>
      <c r="D43" s="164"/>
      <c r="E43" s="164"/>
      <c r="F43" s="165">
        <v>800</v>
      </c>
      <c r="G43" s="166"/>
      <c r="H43" s="167"/>
      <c r="I43" s="167"/>
      <c r="J43" s="167"/>
      <c r="K43" s="167"/>
      <c r="L43" s="167"/>
      <c r="M43" s="167"/>
      <c r="N43" s="167"/>
      <c r="O43" s="167"/>
      <c r="P43" s="167"/>
      <c r="Q43" s="167"/>
      <c r="R43" s="168"/>
      <c r="T43" s="128">
        <v>3022</v>
      </c>
      <c r="U43" s="129">
        <v>570</v>
      </c>
      <c r="V43" s="131">
        <v>44779</v>
      </c>
      <c r="W43" s="130" t="s">
        <v>94</v>
      </c>
    </row>
    <row r="44" spans="1:23" x14ac:dyDescent="0.25">
      <c r="B44" s="14"/>
      <c r="C44" s="140"/>
      <c r="D44" s="141"/>
      <c r="E44" s="141"/>
      <c r="F44" s="142"/>
      <c r="G44" s="145"/>
      <c r="H44" s="146"/>
      <c r="I44" s="146"/>
      <c r="J44" s="146"/>
      <c r="K44" s="146">
        <v>156.25</v>
      </c>
      <c r="L44" s="146"/>
      <c r="M44" s="146"/>
      <c r="N44" s="146"/>
      <c r="O44" s="146"/>
      <c r="P44" s="146"/>
      <c r="Q44" s="146"/>
      <c r="R44" s="147"/>
      <c r="T44" s="128">
        <v>3023</v>
      </c>
      <c r="U44" s="129">
        <v>350</v>
      </c>
      <c r="V44" s="131">
        <v>44779</v>
      </c>
      <c r="W44" s="130" t="s">
        <v>94</v>
      </c>
    </row>
    <row r="45" spans="1:23" x14ac:dyDescent="0.25">
      <c r="B45" s="14" t="s">
        <v>100</v>
      </c>
      <c r="C45" s="140"/>
      <c r="D45" s="141"/>
      <c r="E45" s="141"/>
      <c r="F45" s="142"/>
      <c r="G45" s="145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7"/>
      <c r="T45" s="128">
        <v>3024</v>
      </c>
      <c r="U45" s="129">
        <v>151</v>
      </c>
      <c r="V45" s="131">
        <v>44794</v>
      </c>
      <c r="W45" s="130" t="s">
        <v>94</v>
      </c>
    </row>
    <row r="46" spans="1:23" x14ac:dyDescent="0.25">
      <c r="B46" s="22" t="str">
        <f>B1 &amp; " IRS rate"</f>
        <v>2024 IRS rate</v>
      </c>
      <c r="C46" s="173"/>
      <c r="D46" s="141"/>
      <c r="E46" s="241">
        <v>0.65500000000000003</v>
      </c>
      <c r="F46" s="142">
        <f t="shared" si="6"/>
        <v>24.44</v>
      </c>
      <c r="G46" s="145"/>
      <c r="H46" s="146"/>
      <c r="I46" s="146"/>
      <c r="J46" s="146">
        <f>20*$E$46+3.5+7.84</f>
        <v>24.44</v>
      </c>
      <c r="K46" s="146"/>
      <c r="L46" s="146"/>
      <c r="M46" s="146"/>
      <c r="N46" s="146"/>
      <c r="O46" s="146"/>
      <c r="P46" s="146"/>
      <c r="Q46" s="146"/>
      <c r="R46" s="147"/>
      <c r="T46" s="128">
        <v>3025</v>
      </c>
      <c r="U46" s="129">
        <v>180</v>
      </c>
      <c r="V46" s="131">
        <v>44794</v>
      </c>
      <c r="W46" s="130" t="s">
        <v>94</v>
      </c>
    </row>
    <row r="47" spans="1:23" ht="15.75" thickBot="1" x14ac:dyDescent="0.3">
      <c r="B47" s="14"/>
      <c r="C47" s="140"/>
      <c r="D47" s="141"/>
      <c r="E47" s="141"/>
      <c r="F47" s="142"/>
      <c r="G47" s="145"/>
      <c r="H47" s="146"/>
      <c r="I47" s="146"/>
      <c r="J47" s="146"/>
      <c r="K47" s="146"/>
      <c r="L47" s="146"/>
      <c r="M47" s="146"/>
      <c r="N47" s="146"/>
      <c r="O47" s="146"/>
      <c r="P47" s="146"/>
      <c r="Q47" s="146"/>
      <c r="R47" s="147"/>
      <c r="T47" s="114">
        <v>3584</v>
      </c>
      <c r="U47" s="115">
        <v>300</v>
      </c>
      <c r="V47" s="116">
        <v>44776</v>
      </c>
      <c r="W47" s="117" t="s">
        <v>96</v>
      </c>
    </row>
    <row r="48" spans="1:23" x14ac:dyDescent="0.25">
      <c r="B48" s="136" t="s">
        <v>101</v>
      </c>
      <c r="C48" s="157">
        <f>SUM(F49:F57)</f>
        <v>0</v>
      </c>
      <c r="D48" s="174"/>
      <c r="E48" s="159"/>
      <c r="F48" s="157"/>
      <c r="G48" s="160">
        <f>SUM(G49:G57)</f>
        <v>0</v>
      </c>
      <c r="H48" s="161">
        <f t="shared" ref="H48:R48" si="7">SUM(H49:H57)</f>
        <v>0</v>
      </c>
      <c r="I48" s="161">
        <f t="shared" si="7"/>
        <v>0</v>
      </c>
      <c r="J48" s="161">
        <f t="shared" si="7"/>
        <v>0</v>
      </c>
      <c r="K48" s="161">
        <f t="shared" si="7"/>
        <v>0</v>
      </c>
      <c r="L48" s="161">
        <f t="shared" si="7"/>
        <v>0</v>
      </c>
      <c r="M48" s="161">
        <f t="shared" si="7"/>
        <v>0</v>
      </c>
      <c r="N48" s="161">
        <f t="shared" si="7"/>
        <v>0</v>
      </c>
      <c r="O48" s="161">
        <f t="shared" si="7"/>
        <v>0</v>
      </c>
      <c r="P48" s="161">
        <f t="shared" si="7"/>
        <v>0</v>
      </c>
      <c r="Q48" s="161">
        <f t="shared" si="7"/>
        <v>0</v>
      </c>
      <c r="R48" s="162">
        <f t="shared" si="7"/>
        <v>0</v>
      </c>
      <c r="T48" s="128">
        <v>9918</v>
      </c>
      <c r="U48" s="129">
        <v>200</v>
      </c>
      <c r="V48" s="131">
        <v>44793</v>
      </c>
      <c r="W48" s="130" t="s">
        <v>98</v>
      </c>
    </row>
    <row r="49" spans="2:23" x14ac:dyDescent="0.25">
      <c r="B49" s="132" t="s">
        <v>102</v>
      </c>
      <c r="C49" s="187">
        <f t="shared" ref="C49:C57" si="8">E49*D49</f>
        <v>0</v>
      </c>
      <c r="D49" s="141">
        <f t="shared" ref="D49:D57" si="9">E49*F49</f>
        <v>0</v>
      </c>
      <c r="E49" s="112">
        <v>1</v>
      </c>
      <c r="F49" s="150">
        <f t="shared" si="6"/>
        <v>0</v>
      </c>
      <c r="G49" s="145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7"/>
      <c r="T49" s="128">
        <v>3045</v>
      </c>
      <c r="U49" s="129">
        <v>135</v>
      </c>
      <c r="V49" s="131">
        <v>44814</v>
      </c>
      <c r="W49" s="130" t="s">
        <v>94</v>
      </c>
    </row>
    <row r="50" spans="2:23" x14ac:dyDescent="0.25">
      <c r="B50" s="132" t="s">
        <v>103</v>
      </c>
      <c r="C50" s="187">
        <f t="shared" si="8"/>
        <v>0</v>
      </c>
      <c r="D50" s="141">
        <f t="shared" si="9"/>
        <v>0</v>
      </c>
      <c r="E50" s="112">
        <v>1</v>
      </c>
      <c r="F50" s="150">
        <f t="shared" si="6"/>
        <v>0</v>
      </c>
      <c r="G50" s="145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7"/>
      <c r="T50" s="128">
        <v>3046</v>
      </c>
      <c r="U50" s="129">
        <v>165</v>
      </c>
      <c r="V50" s="131">
        <v>44814</v>
      </c>
      <c r="W50" s="130" t="s">
        <v>94</v>
      </c>
    </row>
    <row r="51" spans="2:23" x14ac:dyDescent="0.25">
      <c r="B51" s="132" t="s">
        <v>104</v>
      </c>
      <c r="C51" s="187">
        <f t="shared" si="8"/>
        <v>0</v>
      </c>
      <c r="D51" s="141">
        <f t="shared" si="9"/>
        <v>0</v>
      </c>
      <c r="E51" s="112">
        <v>1</v>
      </c>
      <c r="F51" s="150">
        <f t="shared" si="6"/>
        <v>0</v>
      </c>
      <c r="G51" s="145"/>
      <c r="H51" s="146"/>
      <c r="I51" s="146"/>
      <c r="J51" s="146"/>
      <c r="K51" s="146"/>
      <c r="L51" s="146"/>
      <c r="M51" s="146"/>
      <c r="N51" s="146"/>
      <c r="O51" s="146"/>
      <c r="P51" s="146"/>
      <c r="Q51" s="146"/>
      <c r="R51" s="147"/>
      <c r="T51" s="114">
        <v>3583</v>
      </c>
      <c r="U51" s="115">
        <v>300</v>
      </c>
      <c r="V51" s="116">
        <v>44808</v>
      </c>
      <c r="W51" s="117" t="s">
        <v>96</v>
      </c>
    </row>
    <row r="52" spans="2:23" x14ac:dyDescent="0.25">
      <c r="B52" s="132" t="s">
        <v>105</v>
      </c>
      <c r="C52" s="187">
        <f t="shared" si="8"/>
        <v>0</v>
      </c>
      <c r="D52" s="141">
        <f t="shared" si="9"/>
        <v>0</v>
      </c>
      <c r="E52" s="112">
        <v>1</v>
      </c>
      <c r="F52" s="150">
        <f t="shared" si="6"/>
        <v>0</v>
      </c>
      <c r="G52" s="145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7"/>
      <c r="T52" s="128">
        <v>9919</v>
      </c>
      <c r="U52" s="129">
        <v>200</v>
      </c>
      <c r="V52" s="131">
        <v>44822</v>
      </c>
      <c r="W52" s="130" t="s">
        <v>98</v>
      </c>
    </row>
    <row r="53" spans="2:23" x14ac:dyDescent="0.25">
      <c r="B53" s="132" t="s">
        <v>106</v>
      </c>
      <c r="C53" s="187">
        <f t="shared" si="8"/>
        <v>0</v>
      </c>
      <c r="D53" s="141">
        <f t="shared" si="9"/>
        <v>0</v>
      </c>
      <c r="E53" s="112">
        <v>1</v>
      </c>
      <c r="F53" s="150">
        <f t="shared" si="6"/>
        <v>0</v>
      </c>
      <c r="G53" s="145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7"/>
      <c r="T53" s="114">
        <v>3586</v>
      </c>
      <c r="U53" s="115">
        <v>300</v>
      </c>
      <c r="V53" s="116">
        <v>44838</v>
      </c>
      <c r="W53" s="117" t="s">
        <v>96</v>
      </c>
    </row>
    <row r="54" spans="2:23" x14ac:dyDescent="0.25">
      <c r="B54" s="132" t="s">
        <v>107</v>
      </c>
      <c r="C54" s="187">
        <f t="shared" si="8"/>
        <v>0</v>
      </c>
      <c r="D54" s="141">
        <f t="shared" si="9"/>
        <v>0</v>
      </c>
      <c r="E54" s="112">
        <v>1</v>
      </c>
      <c r="F54" s="150">
        <f t="shared" si="6"/>
        <v>0</v>
      </c>
      <c r="G54" s="145"/>
      <c r="H54" s="146"/>
      <c r="I54" s="146"/>
      <c r="J54" s="146"/>
      <c r="K54" s="146"/>
      <c r="L54" s="146"/>
      <c r="M54" s="146"/>
      <c r="N54" s="146"/>
      <c r="O54" s="146"/>
      <c r="P54" s="146"/>
      <c r="Q54" s="146"/>
      <c r="R54" s="147"/>
      <c r="T54" s="128">
        <v>9920</v>
      </c>
      <c r="U54" s="129">
        <v>200</v>
      </c>
      <c r="V54" s="131">
        <v>44852</v>
      </c>
      <c r="W54" s="130" t="s">
        <v>98</v>
      </c>
    </row>
    <row r="55" spans="2:23" x14ac:dyDescent="0.25">
      <c r="B55" s="132" t="s">
        <v>108</v>
      </c>
      <c r="C55" s="187">
        <f t="shared" si="8"/>
        <v>0</v>
      </c>
      <c r="D55" s="141">
        <f t="shared" si="9"/>
        <v>0</v>
      </c>
      <c r="E55" s="112">
        <v>1</v>
      </c>
      <c r="F55" s="150">
        <f t="shared" si="6"/>
        <v>0</v>
      </c>
      <c r="G55" s="145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7"/>
      <c r="T55" s="114">
        <v>101</v>
      </c>
      <c r="U55" s="115">
        <v>80</v>
      </c>
      <c r="V55" s="116">
        <v>44879</v>
      </c>
      <c r="W55" s="117" t="s">
        <v>109</v>
      </c>
    </row>
    <row r="56" spans="2:23" x14ac:dyDescent="0.25">
      <c r="B56" s="134" t="s">
        <v>110</v>
      </c>
      <c r="C56" s="187">
        <f t="shared" si="8"/>
        <v>0</v>
      </c>
      <c r="D56" s="141">
        <f t="shared" si="9"/>
        <v>0</v>
      </c>
      <c r="E56" s="112">
        <v>1</v>
      </c>
      <c r="F56" s="150">
        <f t="shared" si="6"/>
        <v>0</v>
      </c>
      <c r="G56" s="145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7"/>
      <c r="T56" s="128">
        <v>1004</v>
      </c>
      <c r="U56" s="129">
        <v>6000</v>
      </c>
      <c r="V56" s="131">
        <v>44890</v>
      </c>
      <c r="W56" s="130" t="s">
        <v>111</v>
      </c>
    </row>
    <row r="57" spans="2:23" ht="15.75" thickBot="1" x14ac:dyDescent="0.3">
      <c r="B57" s="135" t="s">
        <v>112</v>
      </c>
      <c r="C57" s="188">
        <f t="shared" si="8"/>
        <v>0</v>
      </c>
      <c r="D57" s="164">
        <f t="shared" si="9"/>
        <v>0</v>
      </c>
      <c r="E57" s="138">
        <v>1</v>
      </c>
      <c r="F57" s="175">
        <f t="shared" si="6"/>
        <v>0</v>
      </c>
      <c r="G57" s="166"/>
      <c r="H57" s="167"/>
      <c r="I57" s="167"/>
      <c r="J57" s="167"/>
      <c r="K57" s="167"/>
      <c r="L57" s="167"/>
      <c r="M57" s="167"/>
      <c r="N57" s="167"/>
      <c r="O57" s="167"/>
      <c r="P57" s="167"/>
      <c r="Q57" s="167"/>
      <c r="R57" s="168"/>
      <c r="T57" s="114">
        <v>3587</v>
      </c>
      <c r="U57" s="115">
        <v>238.18</v>
      </c>
      <c r="V57" s="116">
        <v>44870</v>
      </c>
      <c r="W57" s="117" t="s">
        <v>96</v>
      </c>
    </row>
    <row r="58" spans="2:23" x14ac:dyDescent="0.25">
      <c r="F58"/>
      <c r="T58" s="128">
        <v>9921</v>
      </c>
      <c r="U58" s="129">
        <v>200</v>
      </c>
      <c r="V58" s="131">
        <v>44885</v>
      </c>
      <c r="W58" s="130" t="s">
        <v>98</v>
      </c>
    </row>
    <row r="59" spans="2:23" x14ac:dyDescent="0.25">
      <c r="F59"/>
      <c r="T59" s="114">
        <v>103</v>
      </c>
      <c r="U59" s="115">
        <v>1230.57</v>
      </c>
      <c r="V59" s="116">
        <v>44898</v>
      </c>
      <c r="W59" s="117" t="s">
        <v>109</v>
      </c>
    </row>
    <row r="60" spans="2:23" x14ac:dyDescent="0.25">
      <c r="T60" s="114">
        <v>3047</v>
      </c>
      <c r="U60" s="115">
        <v>1449.68</v>
      </c>
      <c r="V60" s="116">
        <v>44913</v>
      </c>
      <c r="W60" s="117" t="s">
        <v>109</v>
      </c>
    </row>
    <row r="61" spans="2:23" x14ac:dyDescent="0.25">
      <c r="T61" s="128">
        <v>9922</v>
      </c>
      <c r="U61" s="129">
        <v>200</v>
      </c>
      <c r="V61" s="131">
        <v>44913</v>
      </c>
      <c r="W61" s="130" t="s">
        <v>98</v>
      </c>
    </row>
  </sheetData>
  <mergeCells count="3">
    <mergeCell ref="G1:R1"/>
    <mergeCell ref="S1:S1048576"/>
    <mergeCell ref="D1:F1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9E969-6FDE-47BC-80FD-3C2E5F4389B8}">
  <sheetPr>
    <tabColor rgb="FFC00000"/>
  </sheetPr>
  <dimension ref="A1:W63"/>
  <sheetViews>
    <sheetView topLeftCell="B1" workbookViewId="0">
      <pane xSplit="21" ySplit="2" topLeftCell="W3" activePane="bottomRight" state="frozen"/>
      <selection pane="topRight"/>
      <selection pane="bottomLeft"/>
      <selection pane="bottomRight" activeCell="C5" sqref="C5"/>
    </sheetView>
  </sheetViews>
  <sheetFormatPr defaultRowHeight="15" x14ac:dyDescent="0.25"/>
  <cols>
    <col min="1" max="1" width="8.7109375" bestFit="1" customWidth="1"/>
    <col min="2" max="2" width="26.85546875" customWidth="1"/>
    <col min="3" max="3" width="10.140625" style="358" bestFit="1" customWidth="1"/>
    <col min="4" max="4" width="10.85546875" style="1" bestFit="1" customWidth="1"/>
    <col min="5" max="5" width="8.28515625" style="1" bestFit="1" customWidth="1"/>
    <col min="6" max="6" width="11" style="42" bestFit="1" customWidth="1"/>
    <col min="7" max="7" width="11.5703125" bestFit="1" customWidth="1"/>
    <col min="8" max="8" width="11.85546875" bestFit="1" customWidth="1"/>
    <col min="9" max="18" width="12.5703125" bestFit="1" customWidth="1"/>
    <col min="19" max="19" width="1.5703125" style="557" customWidth="1"/>
    <col min="20" max="20" width="7.42578125" style="113" bestFit="1" customWidth="1"/>
    <col min="21" max="21" width="10.5703125" bestFit="1" customWidth="1"/>
    <col min="22" max="22" width="9.5703125" customWidth="1"/>
    <col min="23" max="23" width="14.7109375" customWidth="1"/>
  </cols>
  <sheetData>
    <row r="1" spans="2:23" x14ac:dyDescent="0.25">
      <c r="B1" s="264">
        <f>Summary!G5</f>
        <v>2023</v>
      </c>
      <c r="C1" s="370"/>
      <c r="D1" s="560"/>
      <c r="E1" s="561"/>
      <c r="F1" s="561"/>
      <c r="G1" s="556" t="str">
        <f>"CLOUDBAUD CONSULTING "&amp; Summary!G5 &amp; " ONLY"</f>
        <v>CLOUDBAUD CONSULTING 2023 ONLY</v>
      </c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</row>
    <row r="2" spans="2:23" x14ac:dyDescent="0.25">
      <c r="B2" s="120"/>
      <c r="C2" s="541"/>
      <c r="D2" s="542"/>
      <c r="E2" s="542"/>
      <c r="F2" s="120" t="s">
        <v>41</v>
      </c>
      <c r="G2" s="120" t="s">
        <v>42</v>
      </c>
      <c r="H2" s="120" t="s">
        <v>43</v>
      </c>
      <c r="I2" s="120" t="s">
        <v>44</v>
      </c>
      <c r="J2" s="120" t="s">
        <v>45</v>
      </c>
      <c r="K2" s="120" t="s">
        <v>46</v>
      </c>
      <c r="L2" s="120" t="s">
        <v>47</v>
      </c>
      <c r="M2" s="120" t="s">
        <v>48</v>
      </c>
      <c r="N2" s="120" t="s">
        <v>49</v>
      </c>
      <c r="O2" s="120" t="s">
        <v>50</v>
      </c>
      <c r="P2" s="120" t="s">
        <v>51</v>
      </c>
      <c r="Q2" s="120" t="s">
        <v>52</v>
      </c>
      <c r="R2" s="120" t="s">
        <v>53</v>
      </c>
      <c r="T2" s="119" t="s">
        <v>54</v>
      </c>
      <c r="U2" s="120" t="s">
        <v>55</v>
      </c>
      <c r="V2" s="120" t="s">
        <v>56</v>
      </c>
      <c r="W2" s="120" t="s">
        <v>57</v>
      </c>
    </row>
    <row r="3" spans="2:23" x14ac:dyDescent="0.25">
      <c r="B3" s="532" t="str">
        <f>'CB-17'!B3</f>
        <v>CONSULTING REVENUE</v>
      </c>
      <c r="C3" s="543">
        <f>F3</f>
        <v>39176</v>
      </c>
      <c r="D3" s="522"/>
      <c r="E3" s="523"/>
      <c r="F3" s="521">
        <f>SUM(G3:R3)</f>
        <v>39176</v>
      </c>
      <c r="G3" s="544"/>
      <c r="H3" s="544"/>
      <c r="I3" s="544"/>
      <c r="J3" s="544"/>
      <c r="K3" s="544"/>
      <c r="L3" s="544"/>
      <c r="M3" s="544"/>
      <c r="N3" s="544"/>
      <c r="O3" s="544"/>
      <c r="P3" s="545">
        <v>0</v>
      </c>
      <c r="Q3" s="545">
        <f>10384+1888</f>
        <v>12272</v>
      </c>
      <c r="R3" s="545">
        <f>10620+ 16284</f>
        <v>26904</v>
      </c>
      <c r="T3" s="114"/>
      <c r="U3" s="115"/>
      <c r="V3" s="116"/>
      <c r="W3" s="117"/>
    </row>
    <row r="4" spans="2:23" x14ac:dyDescent="0.25">
      <c r="B4" s="546"/>
      <c r="C4" s="354"/>
      <c r="D4" s="405"/>
      <c r="E4" s="405"/>
      <c r="F4" s="525" t="s">
        <v>58</v>
      </c>
      <c r="G4" s="521">
        <f>G3</f>
        <v>0</v>
      </c>
      <c r="H4" s="521">
        <f>G4+H3</f>
        <v>0</v>
      </c>
      <c r="I4" s="521">
        <f>H4+I3</f>
        <v>0</v>
      </c>
      <c r="J4" s="521">
        <f t="shared" ref="J4:R4" si="0">I4+J3</f>
        <v>0</v>
      </c>
      <c r="K4" s="521">
        <f t="shared" si="0"/>
        <v>0</v>
      </c>
      <c r="L4" s="521">
        <f t="shared" si="0"/>
        <v>0</v>
      </c>
      <c r="M4" s="521">
        <f t="shared" si="0"/>
        <v>0</v>
      </c>
      <c r="N4" s="521">
        <f t="shared" si="0"/>
        <v>0</v>
      </c>
      <c r="O4" s="521">
        <f t="shared" si="0"/>
        <v>0</v>
      </c>
      <c r="P4" s="521">
        <f t="shared" si="0"/>
        <v>0</v>
      </c>
      <c r="Q4" s="521">
        <f t="shared" si="0"/>
        <v>12272</v>
      </c>
      <c r="R4" s="521">
        <f t="shared" si="0"/>
        <v>39176</v>
      </c>
      <c r="T4"/>
      <c r="V4" s="215"/>
    </row>
    <row r="5" spans="2:23" x14ac:dyDescent="0.25">
      <c r="B5" s="533" t="str">
        <f>'CB-17'!B5</f>
        <v>TOTAL EXPENSES</v>
      </c>
      <c r="C5" s="526">
        <f>C7+C20+C27+C76+C35+C59+C45+C62+C67+C71</f>
        <v>800</v>
      </c>
      <c r="D5" s="298"/>
      <c r="E5" s="523"/>
      <c r="F5" s="325"/>
      <c r="G5" s="298"/>
      <c r="H5" s="298"/>
      <c r="I5" s="298"/>
      <c r="J5" s="298"/>
      <c r="K5" s="298"/>
      <c r="L5" s="298"/>
      <c r="M5" s="298"/>
      <c r="N5" s="298"/>
      <c r="O5" s="298"/>
      <c r="P5" s="298"/>
      <c r="Q5" s="298"/>
      <c r="R5" s="298"/>
      <c r="T5"/>
      <c r="V5" s="215"/>
    </row>
    <row r="6" spans="2:23" x14ac:dyDescent="0.25">
      <c r="B6" s="532" t="str">
        <f>'CB-17'!B6</f>
        <v>NET REVENUE</v>
      </c>
      <c r="C6" s="543">
        <f>C3-C5</f>
        <v>38376</v>
      </c>
      <c r="D6" s="304"/>
      <c r="E6" s="304"/>
      <c r="F6" s="305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T6"/>
      <c r="V6" s="215"/>
    </row>
    <row r="7" spans="2:23" x14ac:dyDescent="0.25">
      <c r="B7" s="288" t="s">
        <v>59</v>
      </c>
      <c r="C7" s="289">
        <f>SUM(D8:D14)</f>
        <v>0</v>
      </c>
      <c r="D7" s="290" t="s">
        <v>60</v>
      </c>
      <c r="E7" s="290" t="s">
        <v>61</v>
      </c>
      <c r="F7" s="290" t="s">
        <v>62</v>
      </c>
      <c r="G7" s="291">
        <f>SUM(G8:G14)</f>
        <v>0</v>
      </c>
      <c r="H7" s="291">
        <f t="shared" ref="H7:R7" si="1">SUM(H8:H14)</f>
        <v>0</v>
      </c>
      <c r="I7" s="291">
        <f t="shared" si="1"/>
        <v>0</v>
      </c>
      <c r="J7" s="291">
        <f t="shared" si="1"/>
        <v>0</v>
      </c>
      <c r="K7" s="291">
        <f t="shared" si="1"/>
        <v>0</v>
      </c>
      <c r="L7" s="291">
        <f t="shared" si="1"/>
        <v>0</v>
      </c>
      <c r="M7" s="291">
        <f t="shared" si="1"/>
        <v>0</v>
      </c>
      <c r="N7" s="291">
        <f t="shared" si="1"/>
        <v>0</v>
      </c>
      <c r="O7" s="291">
        <f t="shared" si="1"/>
        <v>0</v>
      </c>
      <c r="P7" s="291">
        <f t="shared" si="1"/>
        <v>0</v>
      </c>
      <c r="Q7" s="291">
        <f t="shared" si="1"/>
        <v>0</v>
      </c>
      <c r="R7" s="291">
        <f t="shared" si="1"/>
        <v>0</v>
      </c>
      <c r="T7"/>
    </row>
    <row r="8" spans="2:23" x14ac:dyDescent="0.25">
      <c r="B8" s="272" t="str">
        <f>'CB-17'!B8</f>
        <v>Electricity</v>
      </c>
      <c r="C8" s="460">
        <f>'CB-17'!C8</f>
        <v>380.35800000000012</v>
      </c>
      <c r="D8" s="273">
        <f t="shared" ref="D8:D19" si="2">E8*F8</f>
        <v>0</v>
      </c>
      <c r="E8" s="274">
        <f>'CB-17'!E8</f>
        <v>0.17</v>
      </c>
      <c r="F8" s="293">
        <f>SUM(G8:R8)</f>
        <v>0</v>
      </c>
      <c r="G8" s="294"/>
      <c r="H8" s="294"/>
      <c r="I8" s="294"/>
      <c r="J8" s="294"/>
      <c r="K8" s="294"/>
      <c r="L8" s="294"/>
      <c r="M8" s="294"/>
      <c r="N8" s="294"/>
      <c r="O8" s="294"/>
      <c r="P8" s="294"/>
      <c r="Q8" s="294"/>
      <c r="R8" s="294"/>
      <c r="T8"/>
    </row>
    <row r="9" spans="2:23" x14ac:dyDescent="0.25">
      <c r="B9" s="272" t="str">
        <f>'CB-17'!B9</f>
        <v>Waste &amp; Recycle</v>
      </c>
      <c r="C9" s="460">
        <f>'CB-17'!C9</f>
        <v>68.613700000000009</v>
      </c>
      <c r="D9" s="273">
        <f t="shared" si="2"/>
        <v>0</v>
      </c>
      <c r="E9" s="274">
        <f>'CB-17'!E9</f>
        <v>0.17</v>
      </c>
      <c r="F9" s="293">
        <f t="shared" ref="F9:F19" si="3">SUM(G9:R9)</f>
        <v>0</v>
      </c>
      <c r="G9" s="294"/>
      <c r="H9" s="294"/>
      <c r="I9" s="294"/>
      <c r="J9" s="294"/>
      <c r="K9" s="294"/>
      <c r="L9" s="294"/>
      <c r="M9" s="294"/>
      <c r="N9" s="294"/>
      <c r="O9" s="294"/>
      <c r="P9" s="294"/>
      <c r="Q9" s="294"/>
      <c r="R9" s="294"/>
      <c r="T9"/>
    </row>
    <row r="10" spans="2:23" x14ac:dyDescent="0.25">
      <c r="B10" s="272" t="str">
        <f>'CB-17'!B10</f>
        <v>Water &amp; Sewer</v>
      </c>
      <c r="C10" s="460">
        <f>'CB-17'!C10</f>
        <v>0</v>
      </c>
      <c r="D10" s="273">
        <f t="shared" si="2"/>
        <v>0</v>
      </c>
      <c r="E10" s="274">
        <f>'CB-17'!E10</f>
        <v>0.17</v>
      </c>
      <c r="F10" s="293">
        <f t="shared" si="3"/>
        <v>0</v>
      </c>
      <c r="G10" s="294"/>
      <c r="H10" s="294"/>
      <c r="I10" s="294"/>
      <c r="J10" s="294"/>
      <c r="K10" s="294"/>
      <c r="L10" s="294"/>
      <c r="M10" s="294"/>
      <c r="N10" s="294"/>
      <c r="O10" s="294"/>
      <c r="P10" s="294"/>
      <c r="Q10" s="294"/>
      <c r="R10" s="294"/>
      <c r="T10"/>
    </row>
    <row r="11" spans="2:23" x14ac:dyDescent="0.25">
      <c r="B11" s="272" t="str">
        <f>'CB-17'!B11</f>
        <v>Security</v>
      </c>
      <c r="C11" s="460">
        <f>'CB-17'!C11</f>
        <v>0</v>
      </c>
      <c r="D11" s="273">
        <f t="shared" si="2"/>
        <v>0</v>
      </c>
      <c r="E11" s="274">
        <f>'CB-17'!E11</f>
        <v>0.17</v>
      </c>
      <c r="F11" s="293">
        <f t="shared" si="3"/>
        <v>0</v>
      </c>
      <c r="G11" s="294"/>
      <c r="H11" s="294"/>
      <c r="I11" s="294"/>
      <c r="J11" s="294"/>
      <c r="K11" s="294"/>
      <c r="L11" s="294"/>
      <c r="M11" s="294"/>
      <c r="N11" s="294"/>
      <c r="O11" s="294"/>
      <c r="P11" s="294"/>
      <c r="Q11" s="294"/>
      <c r="R11" s="294"/>
      <c r="T11"/>
    </row>
    <row r="12" spans="2:23" x14ac:dyDescent="0.25">
      <c r="B12" s="272" t="str">
        <f>'CB-17'!B12</f>
        <v>Landscaping</v>
      </c>
      <c r="C12" s="460">
        <f>'CB-17'!C12</f>
        <v>0</v>
      </c>
      <c r="D12" s="273">
        <f t="shared" si="2"/>
        <v>0</v>
      </c>
      <c r="E12" s="274">
        <f>'CB-17'!E12</f>
        <v>0.17</v>
      </c>
      <c r="F12" s="293">
        <f t="shared" si="3"/>
        <v>0</v>
      </c>
      <c r="G12" s="294"/>
      <c r="H12" s="294"/>
      <c r="I12" s="294"/>
      <c r="J12" s="294"/>
      <c r="K12" s="294"/>
      <c r="L12" s="294"/>
      <c r="M12" s="294"/>
      <c r="N12" s="294"/>
      <c r="O12" s="294"/>
      <c r="P12" s="294"/>
      <c r="Q12" s="294"/>
      <c r="R12" s="294"/>
      <c r="T12"/>
    </row>
    <row r="13" spans="2:23" x14ac:dyDescent="0.25">
      <c r="B13" s="272" t="str">
        <f>'CB-17'!B13</f>
        <v>Home Owners Insurance</v>
      </c>
      <c r="C13" s="460">
        <f>'CB-17'!C13</f>
        <v>0</v>
      </c>
      <c r="D13" s="273">
        <f t="shared" si="2"/>
        <v>0</v>
      </c>
      <c r="E13" s="274">
        <f>'CB-17'!E13</f>
        <v>0.17</v>
      </c>
      <c r="F13" s="293">
        <f t="shared" si="3"/>
        <v>0</v>
      </c>
      <c r="G13" s="294"/>
      <c r="H13" s="294"/>
      <c r="I13" s="294"/>
      <c r="J13" s="294"/>
      <c r="K13" s="294"/>
      <c r="L13" s="294"/>
      <c r="M13" s="294"/>
      <c r="N13" s="294"/>
      <c r="O13" s="294"/>
      <c r="P13" s="294"/>
      <c r="Q13" s="294"/>
      <c r="R13" s="294"/>
      <c r="T13"/>
    </row>
    <row r="14" spans="2:23" x14ac:dyDescent="0.25">
      <c r="B14" s="272" t="str">
        <f>'CB-17'!B14</f>
        <v>Appliance Maintenance</v>
      </c>
      <c r="C14" s="460">
        <f>'CB-17'!C14</f>
        <v>0</v>
      </c>
      <c r="D14" s="273">
        <f t="shared" si="2"/>
        <v>0</v>
      </c>
      <c r="E14" s="274">
        <f>'CB-17'!E14</f>
        <v>0.5</v>
      </c>
      <c r="F14" s="293">
        <f t="shared" si="3"/>
        <v>0</v>
      </c>
      <c r="G14" s="294"/>
      <c r="H14" s="294"/>
      <c r="I14" s="294"/>
      <c r="J14" s="294"/>
      <c r="K14" s="294"/>
      <c r="L14" s="294"/>
      <c r="M14" s="294"/>
      <c r="N14" s="294"/>
      <c r="O14" s="294"/>
      <c r="P14" s="294"/>
      <c r="Q14" s="294"/>
      <c r="R14" s="294"/>
      <c r="T14"/>
    </row>
    <row r="15" spans="2:23" x14ac:dyDescent="0.25">
      <c r="B15" s="272" t="str">
        <f>'CB-17'!B15</f>
        <v>Apple Warranty</v>
      </c>
      <c r="C15" s="460">
        <f>'CB-17'!C15</f>
        <v>0</v>
      </c>
      <c r="D15" s="273">
        <f t="shared" si="2"/>
        <v>0</v>
      </c>
      <c r="E15" s="274">
        <f>'CB-17'!E15</f>
        <v>0.5</v>
      </c>
      <c r="F15" s="293">
        <f t="shared" si="3"/>
        <v>0</v>
      </c>
      <c r="G15" s="294"/>
      <c r="H15" s="294"/>
      <c r="I15" s="294"/>
      <c r="J15" s="294"/>
      <c r="K15" s="294"/>
      <c r="L15" s="294"/>
      <c r="M15" s="294"/>
      <c r="N15" s="294"/>
      <c r="O15" s="294"/>
      <c r="P15" s="294"/>
      <c r="Q15" s="294"/>
      <c r="R15" s="294"/>
      <c r="T15"/>
    </row>
    <row r="16" spans="2:23" x14ac:dyDescent="0.25">
      <c r="B16" s="272" t="str">
        <f>'CB-17'!B16</f>
        <v>Computers Warranty</v>
      </c>
      <c r="C16" s="460">
        <f>'CB-17'!C16</f>
        <v>0</v>
      </c>
      <c r="D16" s="273">
        <f t="shared" si="2"/>
        <v>0</v>
      </c>
      <c r="E16" s="274">
        <f>'CB-17'!E16</f>
        <v>0.5</v>
      </c>
      <c r="F16" s="293">
        <f t="shared" si="3"/>
        <v>0</v>
      </c>
      <c r="G16" s="294"/>
      <c r="H16" s="294"/>
      <c r="I16" s="294"/>
      <c r="J16" s="294"/>
      <c r="K16" s="294"/>
      <c r="L16" s="294"/>
      <c r="M16" s="294"/>
      <c r="N16" s="294"/>
      <c r="O16" s="294"/>
      <c r="P16" s="294"/>
      <c r="Q16" s="294"/>
      <c r="R16" s="294"/>
      <c r="T16"/>
    </row>
    <row r="17" spans="2:20" x14ac:dyDescent="0.25">
      <c r="B17" s="272" t="str">
        <f>'CB-17'!B17</f>
        <v>Cellular Service</v>
      </c>
      <c r="C17" s="460">
        <f>'CB-17'!C17</f>
        <v>0</v>
      </c>
      <c r="D17" s="273">
        <f t="shared" si="2"/>
        <v>0</v>
      </c>
      <c r="E17" s="274">
        <f>'CB-17'!E17</f>
        <v>0.5</v>
      </c>
      <c r="F17" s="293">
        <f t="shared" si="3"/>
        <v>0</v>
      </c>
      <c r="G17" s="294"/>
      <c r="H17" s="294"/>
      <c r="I17" s="294"/>
      <c r="J17" s="294"/>
      <c r="K17" s="294"/>
      <c r="L17" s="294"/>
      <c r="M17" s="294"/>
      <c r="N17" s="294"/>
      <c r="O17" s="294"/>
      <c r="P17" s="294"/>
      <c r="Q17" s="294"/>
      <c r="R17" s="294"/>
      <c r="T17"/>
    </row>
    <row r="18" spans="2:20" x14ac:dyDescent="0.25">
      <c r="B18" s="272" t="str">
        <f>'CB-17'!B18</f>
        <v>Broadband</v>
      </c>
      <c r="C18" s="460">
        <f>'CB-17'!C18</f>
        <v>0</v>
      </c>
      <c r="D18" s="273">
        <f t="shared" si="2"/>
        <v>0</v>
      </c>
      <c r="E18" s="274">
        <f>'CB-17'!E18</f>
        <v>0.5</v>
      </c>
      <c r="F18" s="293">
        <f t="shared" si="3"/>
        <v>0</v>
      </c>
      <c r="G18" s="294"/>
      <c r="H18" s="294"/>
      <c r="I18" s="294"/>
      <c r="J18" s="294"/>
      <c r="K18" s="294"/>
      <c r="L18" s="294"/>
      <c r="M18" s="294"/>
      <c r="N18" s="294"/>
      <c r="O18" s="294"/>
      <c r="P18" s="294"/>
      <c r="Q18" s="294"/>
      <c r="R18" s="294"/>
      <c r="T18"/>
    </row>
    <row r="19" spans="2:20" ht="15.75" thickBot="1" x14ac:dyDescent="0.3">
      <c r="B19" s="272" t="str">
        <f>'CB-17'!B19</f>
        <v>TV Cable</v>
      </c>
      <c r="C19" s="460">
        <f>'CB-17'!C19</f>
        <v>0</v>
      </c>
      <c r="D19" s="273">
        <f t="shared" si="2"/>
        <v>0</v>
      </c>
      <c r="E19" s="274">
        <f>'CB-17'!E19</f>
        <v>0.5</v>
      </c>
      <c r="F19" s="293">
        <f t="shared" si="3"/>
        <v>0</v>
      </c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T19"/>
    </row>
    <row r="20" spans="2:20" ht="15.75" thickBot="1" x14ac:dyDescent="0.3">
      <c r="B20" s="288" t="str">
        <f>'CB-17'!B20</f>
        <v>DEPRECIABLE ASSETS</v>
      </c>
      <c r="C20" s="453"/>
      <c r="D20" s="290"/>
      <c r="E20" s="290"/>
      <c r="F20" s="290"/>
      <c r="G20" s="381">
        <f>SUM(G21:G26)</f>
        <v>0</v>
      </c>
      <c r="H20" s="381">
        <f t="shared" ref="H20:R20" si="4">SUM(H21:H26)</f>
        <v>0</v>
      </c>
      <c r="I20" s="381">
        <f t="shared" si="4"/>
        <v>0</v>
      </c>
      <c r="J20" s="381">
        <f t="shared" si="4"/>
        <v>0</v>
      </c>
      <c r="K20" s="381">
        <f t="shared" si="4"/>
        <v>0</v>
      </c>
      <c r="L20" s="381">
        <f t="shared" si="4"/>
        <v>0</v>
      </c>
      <c r="M20" s="381">
        <f t="shared" si="4"/>
        <v>0</v>
      </c>
      <c r="N20" s="381">
        <f t="shared" si="4"/>
        <v>0</v>
      </c>
      <c r="O20" s="381">
        <f t="shared" si="4"/>
        <v>0</v>
      </c>
      <c r="P20" s="381">
        <f t="shared" si="4"/>
        <v>0</v>
      </c>
      <c r="Q20" s="381">
        <f t="shared" si="4"/>
        <v>0</v>
      </c>
      <c r="R20" s="381">
        <f t="shared" si="4"/>
        <v>0</v>
      </c>
      <c r="T20"/>
    </row>
    <row r="21" spans="2:20" x14ac:dyDescent="0.25">
      <c r="B21" s="117"/>
      <c r="C21" s="357"/>
      <c r="D21" s="304"/>
      <c r="E21" s="304"/>
      <c r="F21" s="305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T21"/>
    </row>
    <row r="22" spans="2:20" x14ac:dyDescent="0.25">
      <c r="B22" s="117"/>
      <c r="C22" s="357"/>
      <c r="D22" s="304"/>
      <c r="E22" s="304"/>
      <c r="F22" s="305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T22"/>
    </row>
    <row r="23" spans="2:20" x14ac:dyDescent="0.25">
      <c r="B23" s="117"/>
      <c r="C23" s="357"/>
      <c r="D23" s="304"/>
      <c r="E23" s="304"/>
      <c r="F23" s="305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T23"/>
    </row>
    <row r="24" spans="2:20" x14ac:dyDescent="0.25">
      <c r="B24" s="117"/>
      <c r="C24" s="357"/>
      <c r="D24" s="304"/>
      <c r="E24" s="304"/>
      <c r="F24" s="305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T24"/>
    </row>
    <row r="25" spans="2:20" x14ac:dyDescent="0.25">
      <c r="B25" s="117"/>
      <c r="C25" s="357"/>
      <c r="D25" s="304"/>
      <c r="E25" s="304"/>
      <c r="F25" s="305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T25"/>
    </row>
    <row r="26" spans="2:20" x14ac:dyDescent="0.25">
      <c r="B26" s="117"/>
      <c r="C26" s="357"/>
      <c r="D26" s="304"/>
      <c r="E26" s="304"/>
      <c r="F26" s="305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T26"/>
    </row>
    <row r="27" spans="2:20" x14ac:dyDescent="0.25">
      <c r="B27" s="276" t="s">
        <v>72</v>
      </c>
      <c r="C27" s="298">
        <f t="shared" ref="C27:C34" si="5">F27</f>
        <v>0</v>
      </c>
      <c r="D27" s="297"/>
      <c r="E27" s="274">
        <v>1</v>
      </c>
      <c r="F27" s="298">
        <f>SUM(G27:R27)</f>
        <v>0</v>
      </c>
      <c r="G27" s="294"/>
      <c r="H27" s="294"/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T27"/>
    </row>
    <row r="28" spans="2:20" x14ac:dyDescent="0.25">
      <c r="B28" s="276" t="s">
        <v>73</v>
      </c>
      <c r="C28" s="298">
        <f t="shared" si="5"/>
        <v>0</v>
      </c>
      <c r="D28" s="297"/>
      <c r="E28" s="274">
        <v>1</v>
      </c>
      <c r="F28" s="298">
        <f>SUM(G28:R28)</f>
        <v>0</v>
      </c>
      <c r="G28" s="294"/>
      <c r="H28" s="294"/>
      <c r="I28" s="293"/>
      <c r="J28" s="327"/>
      <c r="K28" s="294"/>
      <c r="L28" s="294"/>
      <c r="M28" s="294"/>
      <c r="N28" s="294"/>
      <c r="O28" s="294"/>
      <c r="P28" s="294"/>
      <c r="Q28" s="294"/>
      <c r="R28" s="294"/>
      <c r="T28"/>
    </row>
    <row r="29" spans="2:20" hidden="1" x14ac:dyDescent="0.25">
      <c r="B29" s="276" t="s">
        <v>74</v>
      </c>
      <c r="C29" s="298">
        <f t="shared" si="5"/>
        <v>0</v>
      </c>
      <c r="D29" s="297"/>
      <c r="E29" s="274">
        <v>1</v>
      </c>
      <c r="F29" s="298">
        <f>SUM(G29:R29)</f>
        <v>0</v>
      </c>
      <c r="G29" s="294"/>
      <c r="H29" s="294"/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T29"/>
    </row>
    <row r="30" spans="2:20" x14ac:dyDescent="0.25">
      <c r="B30" s="276" t="s">
        <v>75</v>
      </c>
      <c r="C30" s="298">
        <f t="shared" si="5"/>
        <v>0</v>
      </c>
      <c r="D30" s="297"/>
      <c r="E30" s="274">
        <v>1</v>
      </c>
      <c r="F30" s="298">
        <f>SUM(G30:R30)</f>
        <v>0</v>
      </c>
      <c r="G30" s="294"/>
      <c r="H30" s="294"/>
      <c r="I30" s="294"/>
      <c r="J30" s="294"/>
      <c r="K30" s="294"/>
      <c r="L30" s="294"/>
      <c r="M30" s="294"/>
      <c r="N30" s="294"/>
      <c r="O30" s="294"/>
      <c r="P30" s="294"/>
      <c r="Q30" s="294"/>
      <c r="R30" s="294"/>
      <c r="T30"/>
    </row>
    <row r="31" spans="2:20" x14ac:dyDescent="0.25">
      <c r="B31" s="276" t="s">
        <v>76</v>
      </c>
      <c r="C31" s="298"/>
      <c r="D31" s="297"/>
      <c r="E31" s="274"/>
      <c r="F31" s="298"/>
      <c r="G31" s="294"/>
      <c r="H31" s="294"/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T31"/>
    </row>
    <row r="32" spans="2:20" x14ac:dyDescent="0.25">
      <c r="B32" s="276" t="s">
        <v>77</v>
      </c>
      <c r="C32" s="298">
        <f t="shared" si="5"/>
        <v>0</v>
      </c>
      <c r="D32" s="297"/>
      <c r="E32" s="274">
        <v>1</v>
      </c>
      <c r="F32" s="298"/>
      <c r="G32" s="294"/>
      <c r="H32" s="294"/>
      <c r="I32" s="294"/>
      <c r="J32" s="294"/>
      <c r="K32" s="294"/>
      <c r="L32" s="294"/>
      <c r="M32" s="294"/>
      <c r="N32" s="294"/>
      <c r="O32" s="294"/>
      <c r="P32" s="294"/>
      <c r="Q32" s="294"/>
      <c r="R32" s="294"/>
      <c r="T32"/>
    </row>
    <row r="33" spans="1:23" x14ac:dyDescent="0.25">
      <c r="A33" t="s">
        <v>81</v>
      </c>
      <c r="B33" s="276" t="s">
        <v>78</v>
      </c>
      <c r="C33" s="298">
        <f t="shared" si="5"/>
        <v>40.340000000000003</v>
      </c>
      <c r="D33" s="297"/>
      <c r="E33" s="274">
        <v>1</v>
      </c>
      <c r="F33" s="298">
        <f>SUM(G33:R33)</f>
        <v>40.340000000000003</v>
      </c>
      <c r="G33" s="294"/>
      <c r="H33" s="294">
        <v>40.340000000000003</v>
      </c>
      <c r="I33" s="294"/>
      <c r="J33" s="294"/>
      <c r="K33" s="294"/>
      <c r="L33" s="294"/>
      <c r="M33" s="294"/>
      <c r="N33" s="294"/>
      <c r="O33" s="294"/>
      <c r="P33" s="294"/>
      <c r="Q33" s="294"/>
      <c r="R33" s="294"/>
      <c r="T33"/>
    </row>
    <row r="34" spans="1:23" hidden="1" x14ac:dyDescent="0.25">
      <c r="A34" t="s">
        <v>83</v>
      </c>
      <c r="B34" s="276" t="s">
        <v>79</v>
      </c>
      <c r="C34" s="298">
        <f t="shared" si="5"/>
        <v>0</v>
      </c>
      <c r="D34" s="297"/>
      <c r="E34" s="274">
        <v>1</v>
      </c>
      <c r="F34" s="298">
        <f>SUM(G34:R34)</f>
        <v>0</v>
      </c>
      <c r="G34" s="294"/>
      <c r="H34" s="298"/>
      <c r="I34" s="294"/>
      <c r="J34" s="294"/>
      <c r="K34" s="294"/>
      <c r="L34" s="294"/>
      <c r="M34" s="294"/>
      <c r="N34" s="294"/>
      <c r="O34" s="294"/>
      <c r="P34" s="294"/>
      <c r="Q34" s="294"/>
      <c r="R34" s="294"/>
      <c r="T34"/>
    </row>
    <row r="35" spans="1:23" x14ac:dyDescent="0.25">
      <c r="A35" t="s">
        <v>85</v>
      </c>
      <c r="B35" s="272"/>
      <c r="C35" s="292"/>
      <c r="D35" s="297">
        <f t="shared" ref="D35:D37" si="6">F35*E35</f>
        <v>0</v>
      </c>
      <c r="E35" s="274">
        <v>1</v>
      </c>
      <c r="F35" s="298">
        <f>SUM(G35:R35)</f>
        <v>0</v>
      </c>
      <c r="G35" s="294"/>
      <c r="H35" s="294"/>
      <c r="I35" s="294"/>
      <c r="J35" s="294"/>
      <c r="K35" s="294"/>
      <c r="L35" s="294"/>
      <c r="M35" s="294"/>
      <c r="N35" s="294"/>
      <c r="O35" s="294"/>
      <c r="P35" s="294"/>
      <c r="Q35" s="294"/>
      <c r="R35" s="294"/>
      <c r="T35"/>
    </row>
    <row r="36" spans="1:23" x14ac:dyDescent="0.25">
      <c r="A36" t="s">
        <v>87</v>
      </c>
      <c r="B36" s="272"/>
      <c r="C36" s="292"/>
      <c r="D36" s="297">
        <f t="shared" si="6"/>
        <v>0</v>
      </c>
      <c r="E36" s="274">
        <v>1</v>
      </c>
      <c r="F36" s="298">
        <f>SUM(G36:R36)</f>
        <v>0</v>
      </c>
      <c r="G36" s="294"/>
      <c r="H36" s="294"/>
      <c r="I36" s="294"/>
      <c r="J36" s="294"/>
      <c r="K36" s="294"/>
      <c r="L36" s="294"/>
      <c r="M36" s="294"/>
      <c r="N36" s="294"/>
      <c r="O36" s="294"/>
      <c r="P36" s="294"/>
      <c r="Q36" s="294"/>
      <c r="R36" s="294"/>
      <c r="T36"/>
    </row>
    <row r="37" spans="1:23" x14ac:dyDescent="0.25">
      <c r="A37" t="s">
        <v>89</v>
      </c>
      <c r="B37" s="272"/>
      <c r="C37" s="292"/>
      <c r="D37" s="297">
        <f t="shared" si="6"/>
        <v>0</v>
      </c>
      <c r="E37" s="274">
        <v>1</v>
      </c>
      <c r="F37" s="298">
        <f>SUM(H37:R37)</f>
        <v>0</v>
      </c>
      <c r="G37" s="294"/>
      <c r="H37" s="294"/>
      <c r="I37" s="294"/>
      <c r="J37" s="294"/>
      <c r="K37" s="294"/>
      <c r="L37" s="294"/>
      <c r="M37" s="294"/>
      <c r="N37" s="294"/>
      <c r="O37" s="294"/>
      <c r="P37" s="294"/>
      <c r="Q37" s="294"/>
      <c r="R37" s="294"/>
      <c r="T37"/>
    </row>
    <row r="38" spans="1:23" x14ac:dyDescent="0.25">
      <c r="B38" s="276"/>
      <c r="C38" s="296"/>
      <c r="D38" s="297"/>
      <c r="E38" s="297"/>
      <c r="F38" s="298"/>
      <c r="G38" s="294"/>
      <c r="H38" s="294"/>
      <c r="I38" s="294"/>
      <c r="J38" s="294"/>
      <c r="K38" s="294"/>
      <c r="L38" s="294"/>
      <c r="M38" s="294"/>
      <c r="N38" s="294"/>
      <c r="O38" s="294"/>
      <c r="P38" s="294"/>
      <c r="Q38" s="294"/>
      <c r="R38" s="294"/>
      <c r="T38"/>
    </row>
    <row r="39" spans="1:23" x14ac:dyDescent="0.25">
      <c r="B39" s="276" t="s">
        <v>82</v>
      </c>
      <c r="C39" s="296"/>
      <c r="D39" s="297"/>
      <c r="E39" s="297"/>
      <c r="F39" s="298">
        <f t="shared" ref="F39:F63" si="7">SUM(G39:R39)</f>
        <v>0</v>
      </c>
      <c r="G39" s="294"/>
      <c r="H39" s="294"/>
      <c r="I39" s="294"/>
      <c r="J39" s="294"/>
      <c r="K39" s="294"/>
      <c r="L39" s="294"/>
      <c r="M39" s="294"/>
      <c r="N39" s="294"/>
      <c r="O39" s="294"/>
      <c r="P39" s="294"/>
      <c r="Q39" s="294"/>
      <c r="R39" s="294"/>
      <c r="T39"/>
    </row>
    <row r="40" spans="1:23" x14ac:dyDescent="0.25">
      <c r="B40" s="276" t="s">
        <v>84</v>
      </c>
      <c r="C40" s="296"/>
      <c r="D40" s="297"/>
      <c r="E40" s="299">
        <v>0.5</v>
      </c>
      <c r="F40" s="298">
        <f t="shared" si="7"/>
        <v>0</v>
      </c>
      <c r="G40" s="294"/>
      <c r="H40" s="294"/>
      <c r="I40" s="294"/>
      <c r="J40" s="294"/>
      <c r="K40" s="294"/>
      <c r="L40" s="294"/>
      <c r="M40" s="294"/>
      <c r="N40" s="294"/>
      <c r="O40" s="294"/>
      <c r="P40" s="294"/>
      <c r="Q40" s="294"/>
      <c r="R40" s="294"/>
      <c r="T40" s="128">
        <v>3044</v>
      </c>
      <c r="U40" s="129">
        <v>330</v>
      </c>
      <c r="V40" s="131">
        <v>44766</v>
      </c>
      <c r="W40" s="130" t="s">
        <v>94</v>
      </c>
    </row>
    <row r="41" spans="1:23" x14ac:dyDescent="0.25">
      <c r="B41" s="276" t="s">
        <v>86</v>
      </c>
      <c r="C41" s="296"/>
      <c r="D41" s="297"/>
      <c r="E41" s="297"/>
      <c r="F41" s="298">
        <f t="shared" si="7"/>
        <v>0</v>
      </c>
      <c r="G41" s="294"/>
      <c r="H41" s="294"/>
      <c r="I41" s="294"/>
      <c r="J41" s="294"/>
      <c r="K41" s="294"/>
      <c r="L41" s="294"/>
      <c r="M41" s="294"/>
      <c r="N41" s="294"/>
      <c r="O41" s="294"/>
      <c r="P41" s="294"/>
      <c r="Q41" s="294"/>
      <c r="R41" s="294"/>
      <c r="T41" s="114">
        <v>3583</v>
      </c>
      <c r="U41" s="115">
        <v>300</v>
      </c>
      <c r="V41" s="116">
        <v>44745</v>
      </c>
      <c r="W41" s="117" t="s">
        <v>96</v>
      </c>
    </row>
    <row r="42" spans="1:23" x14ac:dyDescent="0.25">
      <c r="B42" s="276" t="s">
        <v>88</v>
      </c>
      <c r="C42" s="296"/>
      <c r="D42" s="297"/>
      <c r="E42" s="297"/>
      <c r="F42" s="298">
        <f t="shared" si="7"/>
        <v>0</v>
      </c>
      <c r="G42" s="294"/>
      <c r="H42" s="294"/>
      <c r="I42" s="294"/>
      <c r="J42" s="294"/>
      <c r="K42" s="294"/>
      <c r="L42" s="294"/>
      <c r="M42" s="294"/>
      <c r="N42" s="294"/>
      <c r="O42" s="294"/>
      <c r="P42" s="294"/>
      <c r="Q42" s="294"/>
      <c r="R42" s="294"/>
      <c r="T42" s="128">
        <v>9917</v>
      </c>
      <c r="U42" s="129">
        <v>200</v>
      </c>
      <c r="V42" s="131">
        <v>44760</v>
      </c>
      <c r="W42" s="130" t="s">
        <v>98</v>
      </c>
    </row>
    <row r="43" spans="1:23" x14ac:dyDescent="0.25">
      <c r="B43" s="276" t="s">
        <v>90</v>
      </c>
      <c r="C43" s="296">
        <f>E43</f>
        <v>0</v>
      </c>
      <c r="D43" s="297"/>
      <c r="E43" s="298">
        <f>SUM(G43:R43)</f>
        <v>0</v>
      </c>
      <c r="F43" s="325"/>
      <c r="G43" s="294"/>
      <c r="H43" s="294"/>
      <c r="I43" s="294"/>
      <c r="J43" s="294"/>
      <c r="K43" s="294"/>
      <c r="L43" s="294"/>
      <c r="M43" s="294"/>
      <c r="N43" s="294"/>
      <c r="O43" s="294"/>
      <c r="P43" s="294"/>
      <c r="Q43" s="294"/>
      <c r="R43" s="294"/>
      <c r="T43" s="128">
        <v>3022</v>
      </c>
      <c r="U43" s="129">
        <v>570</v>
      </c>
      <c r="V43" s="131">
        <v>44779</v>
      </c>
      <c r="W43" s="130" t="s">
        <v>94</v>
      </c>
    </row>
    <row r="44" spans="1:23" x14ac:dyDescent="0.25">
      <c r="B44" s="276" t="s">
        <v>91</v>
      </c>
      <c r="C44" s="296">
        <f>E44</f>
        <v>0</v>
      </c>
      <c r="D44" s="297"/>
      <c r="E44" s="298">
        <f>SUM(G44:R44)</f>
        <v>0</v>
      </c>
      <c r="F44" s="325"/>
      <c r="G44" s="294"/>
      <c r="H44" s="294"/>
      <c r="I44" s="294"/>
      <c r="J44" s="294"/>
      <c r="K44" s="294"/>
      <c r="L44" s="294"/>
      <c r="M44" s="294"/>
      <c r="N44" s="294"/>
      <c r="O44" s="294"/>
      <c r="P44" s="294"/>
      <c r="Q44" s="294"/>
      <c r="R44" s="294"/>
      <c r="T44" s="128">
        <v>3023</v>
      </c>
      <c r="U44" s="129">
        <v>350</v>
      </c>
      <c r="V44" s="131">
        <v>44779</v>
      </c>
      <c r="W44" s="130" t="s">
        <v>94</v>
      </c>
    </row>
    <row r="45" spans="1:23" x14ac:dyDescent="0.25">
      <c r="B45" s="456" t="s">
        <v>92</v>
      </c>
      <c r="C45" s="457">
        <f>SUM(F46:F49)</f>
        <v>800</v>
      </c>
      <c r="D45" s="289"/>
      <c r="E45" s="289"/>
      <c r="F45" s="457"/>
      <c r="G45" s="537"/>
      <c r="H45" s="537"/>
      <c r="I45" s="537"/>
      <c r="J45" s="537"/>
      <c r="K45" s="537"/>
      <c r="L45" s="537"/>
      <c r="M45" s="537"/>
      <c r="N45" s="537"/>
      <c r="O45" s="537"/>
      <c r="P45" s="537"/>
      <c r="Q45" s="537"/>
      <c r="R45" s="537"/>
      <c r="T45" s="128">
        <v>3024</v>
      </c>
      <c r="U45" s="129">
        <v>151</v>
      </c>
      <c r="V45" s="131">
        <v>44794</v>
      </c>
      <c r="W45" s="130" t="s">
        <v>94</v>
      </c>
    </row>
    <row r="46" spans="1:23" x14ac:dyDescent="0.25">
      <c r="B46" s="272" t="s">
        <v>93</v>
      </c>
      <c r="C46" s="296"/>
      <c r="D46" s="297"/>
      <c r="E46" s="297"/>
      <c r="F46" s="298">
        <f t="shared" si="7"/>
        <v>0</v>
      </c>
      <c r="G46" s="294"/>
      <c r="H46" s="294"/>
      <c r="I46" s="294"/>
      <c r="J46" s="294"/>
      <c r="K46" s="294"/>
      <c r="L46" s="294"/>
      <c r="M46" s="294"/>
      <c r="N46" s="294"/>
      <c r="O46" s="294"/>
      <c r="P46" s="294"/>
      <c r="Q46" s="294"/>
      <c r="R46" s="294"/>
      <c r="T46" s="128">
        <v>3025</v>
      </c>
      <c r="U46" s="129">
        <v>180</v>
      </c>
      <c r="V46" s="131">
        <v>44794</v>
      </c>
      <c r="W46" s="130" t="s">
        <v>94</v>
      </c>
    </row>
    <row r="47" spans="1:23" x14ac:dyDescent="0.25">
      <c r="B47" s="272" t="s">
        <v>95</v>
      </c>
      <c r="C47" s="296"/>
      <c r="D47" s="297"/>
      <c r="E47" s="297"/>
      <c r="F47" s="298">
        <f t="shared" si="7"/>
        <v>0</v>
      </c>
      <c r="G47" s="294"/>
      <c r="H47" s="294"/>
      <c r="I47" s="294"/>
      <c r="J47" s="294"/>
      <c r="K47" s="294"/>
      <c r="L47" s="294"/>
      <c r="M47" s="294"/>
      <c r="N47" s="294"/>
      <c r="O47" s="294"/>
      <c r="P47" s="294"/>
      <c r="Q47" s="294"/>
      <c r="R47" s="294"/>
      <c r="T47" s="114">
        <v>3584</v>
      </c>
      <c r="U47" s="115">
        <v>300</v>
      </c>
      <c r="V47" s="116">
        <v>44776</v>
      </c>
      <c r="W47" s="117" t="s">
        <v>96</v>
      </c>
    </row>
    <row r="48" spans="1:23" x14ac:dyDescent="0.25">
      <c r="B48" s="272" t="s">
        <v>97</v>
      </c>
      <c r="C48" s="296"/>
      <c r="D48" s="297"/>
      <c r="E48" s="297"/>
      <c r="F48" s="298">
        <f t="shared" si="7"/>
        <v>0</v>
      </c>
      <c r="G48" s="294"/>
      <c r="H48" s="294"/>
      <c r="I48" s="294"/>
      <c r="J48" s="294"/>
      <c r="K48" s="294"/>
      <c r="L48" s="294"/>
      <c r="M48" s="294"/>
      <c r="N48" s="294"/>
      <c r="O48" s="294"/>
      <c r="P48" s="294"/>
      <c r="Q48" s="294"/>
      <c r="R48" s="294"/>
      <c r="T48" s="128">
        <v>9918</v>
      </c>
      <c r="U48" s="129">
        <v>200</v>
      </c>
      <c r="V48" s="131">
        <v>44793</v>
      </c>
      <c r="W48" s="130" t="s">
        <v>98</v>
      </c>
    </row>
    <row r="49" spans="2:23" x14ac:dyDescent="0.25">
      <c r="B49" s="272" t="s">
        <v>99</v>
      </c>
      <c r="C49" s="296"/>
      <c r="D49" s="297"/>
      <c r="E49" s="297"/>
      <c r="F49" s="298">
        <v>800</v>
      </c>
      <c r="G49" s="294"/>
      <c r="H49" s="294"/>
      <c r="I49" s="294"/>
      <c r="J49" s="294"/>
      <c r="K49" s="294"/>
      <c r="L49" s="294"/>
      <c r="M49" s="294"/>
      <c r="N49" s="294"/>
      <c r="O49" s="294"/>
      <c r="P49" s="294"/>
      <c r="Q49" s="294"/>
      <c r="R49" s="294"/>
      <c r="T49" s="128">
        <v>3045</v>
      </c>
      <c r="U49" s="129">
        <v>135</v>
      </c>
      <c r="V49" s="131">
        <v>44814</v>
      </c>
      <c r="W49" s="130" t="s">
        <v>94</v>
      </c>
    </row>
    <row r="50" spans="2:23" x14ac:dyDescent="0.25">
      <c r="B50" s="276"/>
      <c r="C50" s="296"/>
      <c r="D50" s="297"/>
      <c r="E50" s="297"/>
      <c r="F50" s="298"/>
      <c r="G50" s="294"/>
      <c r="H50" s="294"/>
      <c r="I50" s="294"/>
      <c r="J50" s="294"/>
      <c r="K50" s="294">
        <v>156.25</v>
      </c>
      <c r="L50" s="294"/>
      <c r="M50" s="294"/>
      <c r="N50" s="294"/>
      <c r="O50" s="294"/>
      <c r="P50" s="294"/>
      <c r="Q50" s="294"/>
      <c r="R50" s="294"/>
      <c r="T50" s="128">
        <v>3046</v>
      </c>
      <c r="U50" s="129">
        <v>165</v>
      </c>
      <c r="V50" s="131">
        <v>44814</v>
      </c>
      <c r="W50" s="130" t="s">
        <v>94</v>
      </c>
    </row>
    <row r="51" spans="2:23" x14ac:dyDescent="0.25">
      <c r="B51" s="276" t="s">
        <v>100</v>
      </c>
      <c r="C51" s="296"/>
      <c r="D51" s="297"/>
      <c r="E51" s="297"/>
      <c r="F51" s="298"/>
      <c r="G51" s="294"/>
      <c r="H51" s="294"/>
      <c r="I51" s="294"/>
      <c r="J51" s="294"/>
      <c r="K51" s="294"/>
      <c r="L51" s="294"/>
      <c r="M51" s="294"/>
      <c r="N51" s="294"/>
      <c r="O51" s="294"/>
      <c r="P51" s="294"/>
      <c r="Q51" s="294"/>
      <c r="R51" s="294"/>
      <c r="T51" s="114">
        <v>3583</v>
      </c>
      <c r="U51" s="115">
        <v>300</v>
      </c>
      <c r="V51" s="116">
        <v>44808</v>
      </c>
      <c r="W51" s="117" t="s">
        <v>96</v>
      </c>
    </row>
    <row r="52" spans="2:23" x14ac:dyDescent="0.25">
      <c r="B52" s="454" t="s">
        <v>113</v>
      </c>
      <c r="C52" s="538"/>
      <c r="D52" s="297"/>
      <c r="E52" s="414">
        <v>0.65500000000000003</v>
      </c>
      <c r="F52" s="298">
        <f t="shared" si="7"/>
        <v>24.44</v>
      </c>
      <c r="G52" s="294"/>
      <c r="H52" s="294"/>
      <c r="I52" s="294"/>
      <c r="J52" s="294">
        <f>20*$E$52+3.5+7.84</f>
        <v>24.44</v>
      </c>
      <c r="K52" s="294"/>
      <c r="L52" s="294"/>
      <c r="M52" s="294"/>
      <c r="N52" s="294"/>
      <c r="O52" s="294"/>
      <c r="P52" s="294"/>
      <c r="Q52" s="294"/>
      <c r="R52" s="294"/>
      <c r="T52" s="128">
        <v>9919</v>
      </c>
      <c r="U52" s="129">
        <v>200</v>
      </c>
      <c r="V52" s="131">
        <v>44822</v>
      </c>
      <c r="W52" s="130" t="s">
        <v>98</v>
      </c>
    </row>
    <row r="53" spans="2:23" x14ac:dyDescent="0.25">
      <c r="B53" s="276"/>
      <c r="C53" s="296"/>
      <c r="D53" s="297"/>
      <c r="E53" s="297"/>
      <c r="F53" s="298"/>
      <c r="G53" s="294"/>
      <c r="H53" s="294"/>
      <c r="I53" s="294"/>
      <c r="J53" s="294"/>
      <c r="K53" s="294"/>
      <c r="L53" s="294"/>
      <c r="M53" s="294"/>
      <c r="N53" s="294"/>
      <c r="O53" s="294"/>
      <c r="P53" s="294"/>
      <c r="Q53" s="294"/>
      <c r="R53" s="294"/>
      <c r="T53" s="114">
        <v>3586</v>
      </c>
      <c r="U53" s="115">
        <v>300</v>
      </c>
      <c r="V53" s="116">
        <v>44838</v>
      </c>
      <c r="W53" s="117" t="s">
        <v>96</v>
      </c>
    </row>
    <row r="54" spans="2:23" x14ac:dyDescent="0.25">
      <c r="B54" s="456" t="s">
        <v>101</v>
      </c>
      <c r="C54" s="457">
        <f>SUM(F55:F63)</f>
        <v>0</v>
      </c>
      <c r="D54" s="539"/>
      <c r="E54" s="540"/>
      <c r="F54" s="457"/>
      <c r="G54" s="291">
        <f>SUM(G55:G63)</f>
        <v>0</v>
      </c>
      <c r="H54" s="291">
        <f t="shared" ref="H54:R54" si="8">SUM(H55:H63)</f>
        <v>0</v>
      </c>
      <c r="I54" s="291">
        <f t="shared" si="8"/>
        <v>0</v>
      </c>
      <c r="J54" s="291">
        <f t="shared" si="8"/>
        <v>0</v>
      </c>
      <c r="K54" s="291">
        <f t="shared" si="8"/>
        <v>0</v>
      </c>
      <c r="L54" s="291">
        <f t="shared" si="8"/>
        <v>0</v>
      </c>
      <c r="M54" s="291">
        <f t="shared" si="8"/>
        <v>0</v>
      </c>
      <c r="N54" s="291">
        <f t="shared" si="8"/>
        <v>0</v>
      </c>
      <c r="O54" s="291">
        <f t="shared" si="8"/>
        <v>0</v>
      </c>
      <c r="P54" s="291">
        <f t="shared" si="8"/>
        <v>0</v>
      </c>
      <c r="Q54" s="291">
        <f t="shared" si="8"/>
        <v>0</v>
      </c>
      <c r="R54" s="291">
        <f t="shared" si="8"/>
        <v>0</v>
      </c>
      <c r="T54" s="128">
        <v>9920</v>
      </c>
      <c r="U54" s="129">
        <v>200</v>
      </c>
      <c r="V54" s="131">
        <v>44852</v>
      </c>
      <c r="W54" s="130" t="s">
        <v>98</v>
      </c>
    </row>
    <row r="55" spans="2:23" x14ac:dyDescent="0.25">
      <c r="B55" s="272" t="s">
        <v>102</v>
      </c>
      <c r="C55" s="355">
        <f t="shared" ref="C55:C63" si="9">E55*D55</f>
        <v>0</v>
      </c>
      <c r="D55" s="297">
        <f t="shared" ref="D55:D63" si="10">E55*F55</f>
        <v>0</v>
      </c>
      <c r="E55" s="352">
        <v>1</v>
      </c>
      <c r="F55" s="293">
        <f t="shared" si="7"/>
        <v>0</v>
      </c>
      <c r="G55" s="294"/>
      <c r="H55" s="294"/>
      <c r="I55" s="294"/>
      <c r="J55" s="294"/>
      <c r="K55" s="294"/>
      <c r="L55" s="294"/>
      <c r="M55" s="294"/>
      <c r="N55" s="294"/>
      <c r="O55" s="294"/>
      <c r="P55" s="294"/>
      <c r="Q55" s="294"/>
      <c r="R55" s="294"/>
      <c r="T55" s="114">
        <v>101</v>
      </c>
      <c r="U55" s="115">
        <v>80</v>
      </c>
      <c r="V55" s="116">
        <v>44879</v>
      </c>
      <c r="W55" s="117" t="s">
        <v>109</v>
      </c>
    </row>
    <row r="56" spans="2:23" x14ac:dyDescent="0.25">
      <c r="B56" s="272" t="s">
        <v>103</v>
      </c>
      <c r="C56" s="355">
        <f t="shared" si="9"/>
        <v>0</v>
      </c>
      <c r="D56" s="297">
        <f t="shared" si="10"/>
        <v>0</v>
      </c>
      <c r="E56" s="352">
        <v>1</v>
      </c>
      <c r="F56" s="293">
        <f t="shared" si="7"/>
        <v>0</v>
      </c>
      <c r="G56" s="294"/>
      <c r="H56" s="294"/>
      <c r="I56" s="294"/>
      <c r="J56" s="294"/>
      <c r="K56" s="294"/>
      <c r="L56" s="294"/>
      <c r="M56" s="294"/>
      <c r="N56" s="294"/>
      <c r="O56" s="294"/>
      <c r="P56" s="294"/>
      <c r="Q56" s="294"/>
      <c r="R56" s="294"/>
      <c r="T56" s="128">
        <v>1004</v>
      </c>
      <c r="U56" s="129">
        <v>6000</v>
      </c>
      <c r="V56" s="131">
        <v>44890</v>
      </c>
      <c r="W56" s="130" t="s">
        <v>111</v>
      </c>
    </row>
    <row r="57" spans="2:23" x14ac:dyDescent="0.25">
      <c r="B57" s="272" t="s">
        <v>104</v>
      </c>
      <c r="C57" s="355">
        <f t="shared" si="9"/>
        <v>0</v>
      </c>
      <c r="D57" s="297">
        <f t="shared" si="10"/>
        <v>0</v>
      </c>
      <c r="E57" s="352">
        <v>1</v>
      </c>
      <c r="F57" s="293">
        <f t="shared" si="7"/>
        <v>0</v>
      </c>
      <c r="G57" s="294"/>
      <c r="H57" s="294"/>
      <c r="I57" s="294"/>
      <c r="J57" s="294"/>
      <c r="K57" s="294"/>
      <c r="L57" s="294"/>
      <c r="M57" s="294"/>
      <c r="N57" s="294"/>
      <c r="O57" s="294"/>
      <c r="P57" s="294"/>
      <c r="Q57" s="294"/>
      <c r="R57" s="294"/>
      <c r="T57" s="114">
        <v>3587</v>
      </c>
      <c r="U57" s="115">
        <v>238.18</v>
      </c>
      <c r="V57" s="116">
        <v>44870</v>
      </c>
      <c r="W57" s="117" t="s">
        <v>96</v>
      </c>
    </row>
    <row r="58" spans="2:23" x14ac:dyDescent="0.25">
      <c r="B58" s="272" t="s">
        <v>105</v>
      </c>
      <c r="C58" s="355">
        <f t="shared" si="9"/>
        <v>0</v>
      </c>
      <c r="D58" s="297">
        <f t="shared" si="10"/>
        <v>0</v>
      </c>
      <c r="E58" s="352">
        <v>1</v>
      </c>
      <c r="F58" s="293">
        <f t="shared" si="7"/>
        <v>0</v>
      </c>
      <c r="G58" s="294"/>
      <c r="H58" s="294"/>
      <c r="I58" s="294"/>
      <c r="J58" s="294"/>
      <c r="K58" s="294"/>
      <c r="L58" s="294"/>
      <c r="M58" s="294"/>
      <c r="N58" s="294"/>
      <c r="O58" s="294"/>
      <c r="P58" s="294"/>
      <c r="Q58" s="294"/>
      <c r="R58" s="294"/>
      <c r="T58" s="128">
        <v>9921</v>
      </c>
      <c r="U58" s="129">
        <v>200</v>
      </c>
      <c r="V58" s="131">
        <v>44885</v>
      </c>
      <c r="W58" s="130" t="s">
        <v>98</v>
      </c>
    </row>
    <row r="59" spans="2:23" x14ac:dyDescent="0.25">
      <c r="B59" s="272" t="s">
        <v>106</v>
      </c>
      <c r="C59" s="355">
        <f t="shared" si="9"/>
        <v>0</v>
      </c>
      <c r="D59" s="297">
        <f t="shared" si="10"/>
        <v>0</v>
      </c>
      <c r="E59" s="352">
        <v>1</v>
      </c>
      <c r="F59" s="293">
        <f t="shared" si="7"/>
        <v>0</v>
      </c>
      <c r="G59" s="294"/>
      <c r="H59" s="294"/>
      <c r="I59" s="294"/>
      <c r="J59" s="294"/>
      <c r="K59" s="294"/>
      <c r="L59" s="294"/>
      <c r="M59" s="294"/>
      <c r="N59" s="294"/>
      <c r="O59" s="294"/>
      <c r="P59" s="294"/>
      <c r="Q59" s="294"/>
      <c r="R59" s="294"/>
      <c r="T59" s="114">
        <v>103</v>
      </c>
      <c r="U59" s="115">
        <v>1230.57</v>
      </c>
      <c r="V59" s="116">
        <v>44898</v>
      </c>
      <c r="W59" s="117" t="s">
        <v>109</v>
      </c>
    </row>
    <row r="60" spans="2:23" x14ac:dyDescent="0.25">
      <c r="B60" s="272" t="s">
        <v>107</v>
      </c>
      <c r="C60" s="355">
        <f t="shared" si="9"/>
        <v>0</v>
      </c>
      <c r="D60" s="297">
        <f t="shared" si="10"/>
        <v>0</v>
      </c>
      <c r="E60" s="352">
        <v>1</v>
      </c>
      <c r="F60" s="293">
        <f t="shared" si="7"/>
        <v>0</v>
      </c>
      <c r="G60" s="294"/>
      <c r="H60" s="294"/>
      <c r="I60" s="294"/>
      <c r="J60" s="294"/>
      <c r="K60" s="294"/>
      <c r="L60" s="294"/>
      <c r="M60" s="294"/>
      <c r="N60" s="294"/>
      <c r="O60" s="294"/>
      <c r="P60" s="294"/>
      <c r="Q60" s="294"/>
      <c r="R60" s="294"/>
      <c r="T60" s="114">
        <v>3047</v>
      </c>
      <c r="U60" s="115">
        <v>1449.68</v>
      </c>
      <c r="V60" s="116">
        <v>44913</v>
      </c>
      <c r="W60" s="117" t="s">
        <v>109</v>
      </c>
    </row>
    <row r="61" spans="2:23" x14ac:dyDescent="0.25">
      <c r="B61" s="272" t="s">
        <v>108</v>
      </c>
      <c r="C61" s="355">
        <f t="shared" si="9"/>
        <v>0</v>
      </c>
      <c r="D61" s="297">
        <f t="shared" si="10"/>
        <v>0</v>
      </c>
      <c r="E61" s="352">
        <v>1</v>
      </c>
      <c r="F61" s="293">
        <f t="shared" si="7"/>
        <v>0</v>
      </c>
      <c r="G61" s="294"/>
      <c r="H61" s="294"/>
      <c r="I61" s="294"/>
      <c r="J61" s="294"/>
      <c r="K61" s="294"/>
      <c r="L61" s="294"/>
      <c r="M61" s="294"/>
      <c r="N61" s="294"/>
      <c r="O61" s="294"/>
      <c r="P61" s="294"/>
      <c r="Q61" s="294"/>
      <c r="R61" s="294"/>
      <c r="T61" s="128">
        <v>9922</v>
      </c>
      <c r="U61" s="129">
        <v>200</v>
      </c>
      <c r="V61" s="131">
        <v>44913</v>
      </c>
      <c r="W61" s="130" t="s">
        <v>98</v>
      </c>
    </row>
    <row r="62" spans="2:23" x14ac:dyDescent="0.25">
      <c r="B62" s="295" t="s">
        <v>110</v>
      </c>
      <c r="C62" s="355">
        <f t="shared" si="9"/>
        <v>0</v>
      </c>
      <c r="D62" s="297">
        <f t="shared" si="10"/>
        <v>0</v>
      </c>
      <c r="E62" s="352">
        <v>1</v>
      </c>
      <c r="F62" s="293">
        <f t="shared" si="7"/>
        <v>0</v>
      </c>
      <c r="G62" s="294"/>
      <c r="H62" s="294"/>
      <c r="I62" s="294"/>
      <c r="J62" s="294"/>
      <c r="K62" s="294"/>
      <c r="L62" s="294"/>
      <c r="M62" s="294"/>
      <c r="N62" s="294"/>
      <c r="O62" s="294"/>
      <c r="P62" s="294"/>
      <c r="Q62" s="294"/>
      <c r="R62" s="294"/>
    </row>
    <row r="63" spans="2:23" x14ac:dyDescent="0.25">
      <c r="B63" s="295" t="s">
        <v>112</v>
      </c>
      <c r="C63" s="355">
        <f t="shared" si="9"/>
        <v>0</v>
      </c>
      <c r="D63" s="297">
        <f t="shared" si="10"/>
        <v>0</v>
      </c>
      <c r="E63" s="352">
        <v>1</v>
      </c>
      <c r="F63" s="293">
        <f t="shared" si="7"/>
        <v>0</v>
      </c>
      <c r="G63" s="294"/>
      <c r="H63" s="294"/>
      <c r="I63" s="294"/>
      <c r="J63" s="294"/>
      <c r="K63" s="294"/>
      <c r="L63" s="294"/>
      <c r="M63" s="294"/>
      <c r="N63" s="294"/>
      <c r="O63" s="294"/>
      <c r="P63" s="294"/>
      <c r="Q63" s="294"/>
      <c r="R63" s="294"/>
    </row>
  </sheetData>
  <mergeCells count="3">
    <mergeCell ref="G1:R1"/>
    <mergeCell ref="S1:S1048576"/>
    <mergeCell ref="D1:F1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919DA-4AEE-4FA6-BF76-FD0716254BEA}">
  <sheetPr>
    <tabColor rgb="FFC00000"/>
  </sheetPr>
  <dimension ref="A1:W79"/>
  <sheetViews>
    <sheetView topLeftCell="B1" workbookViewId="0">
      <pane xSplit="21" ySplit="2" topLeftCell="W3" activePane="bottomRight" state="frozen"/>
      <selection pane="topRight"/>
      <selection pane="bottomLeft"/>
      <selection pane="bottomRight" activeCell="I24" sqref="I24"/>
    </sheetView>
  </sheetViews>
  <sheetFormatPr defaultRowHeight="15" x14ac:dyDescent="0.25"/>
  <cols>
    <col min="1" max="1" width="8.7109375" bestFit="1" customWidth="1"/>
    <col min="2" max="2" width="32.28515625" bestFit="1" customWidth="1"/>
    <col min="3" max="3" width="12" bestFit="1" customWidth="1"/>
    <col min="4" max="4" width="10.85546875" style="1" bestFit="1" customWidth="1"/>
    <col min="5" max="5" width="8.28515625" style="1" bestFit="1" customWidth="1"/>
    <col min="6" max="6" width="11" style="42" bestFit="1" customWidth="1"/>
    <col min="7" max="7" width="11.5703125" bestFit="1" customWidth="1"/>
    <col min="8" max="8" width="11.42578125" bestFit="1" customWidth="1"/>
    <col min="9" max="18" width="12.5703125" bestFit="1" customWidth="1"/>
    <col min="19" max="19" width="1.5703125" style="557" customWidth="1"/>
    <col min="20" max="20" width="7.42578125" style="113" bestFit="1" customWidth="1"/>
    <col min="21" max="21" width="10.5703125" bestFit="1" customWidth="1"/>
    <col min="22" max="22" width="9.5703125" customWidth="1"/>
    <col min="23" max="23" width="14.7109375" customWidth="1"/>
  </cols>
  <sheetData>
    <row r="1" spans="2:23" ht="15.75" thickBot="1" x14ac:dyDescent="0.3">
      <c r="B1" s="264">
        <f>Summary!H5</f>
        <v>2022</v>
      </c>
      <c r="C1" s="261"/>
      <c r="D1" s="558"/>
      <c r="E1" s="559"/>
      <c r="F1" s="559"/>
      <c r="G1" s="556" t="str">
        <f>"CLOUDBAUD CONSULTING "&amp; Summary!H5 &amp; " ONLY"</f>
        <v>CLOUDBAUD CONSULTING 2022 ONLY</v>
      </c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</row>
    <row r="2" spans="2:23" x14ac:dyDescent="0.25">
      <c r="B2" s="301"/>
      <c r="C2" s="302"/>
      <c r="D2" s="300"/>
      <c r="E2" s="300"/>
      <c r="F2" s="302" t="s">
        <v>41</v>
      </c>
      <c r="G2" s="302" t="s">
        <v>42</v>
      </c>
      <c r="H2" s="302" t="s">
        <v>43</v>
      </c>
      <c r="I2" s="302" t="s">
        <v>44</v>
      </c>
      <c r="J2" s="302" t="s">
        <v>45</v>
      </c>
      <c r="K2" s="302" t="s">
        <v>46</v>
      </c>
      <c r="L2" s="302" t="s">
        <v>47</v>
      </c>
      <c r="M2" s="302" t="s">
        <v>48</v>
      </c>
      <c r="N2" s="302" t="s">
        <v>49</v>
      </c>
      <c r="O2" s="302" t="s">
        <v>50</v>
      </c>
      <c r="P2" s="302" t="s">
        <v>51</v>
      </c>
      <c r="Q2" s="302" t="s">
        <v>52</v>
      </c>
      <c r="R2" s="303" t="s">
        <v>53</v>
      </c>
      <c r="T2" s="119" t="s">
        <v>54</v>
      </c>
      <c r="U2" s="120" t="s">
        <v>55</v>
      </c>
      <c r="V2" s="120" t="s">
        <v>56</v>
      </c>
      <c r="W2" s="120" t="s">
        <v>57</v>
      </c>
    </row>
    <row r="3" spans="2:23" x14ac:dyDescent="0.25">
      <c r="B3" s="532" t="str">
        <f>'CB-17'!B3</f>
        <v>CONSULTING REVENUE</v>
      </c>
      <c r="C3" s="357">
        <f>F3</f>
        <v>366830.49</v>
      </c>
      <c r="D3" s="522"/>
      <c r="E3" s="523"/>
      <c r="F3" s="521">
        <f>SUM(G3:R3)</f>
        <v>366830.49</v>
      </c>
      <c r="G3" s="522">
        <f>24030</f>
        <v>24030</v>
      </c>
      <c r="H3" s="522">
        <f>15080+24030</f>
        <v>39110</v>
      </c>
      <c r="I3" s="522">
        <f>22815+8700</f>
        <v>31515</v>
      </c>
      <c r="J3" s="522">
        <f>14065+19035</f>
        <v>33100</v>
      </c>
      <c r="K3" s="522">
        <v>18560</v>
      </c>
      <c r="L3" s="522">
        <f>18270+41985</f>
        <v>60255</v>
      </c>
      <c r="M3" s="522">
        <f>6075+18270+22815</f>
        <v>47160</v>
      </c>
      <c r="N3" s="522">
        <f>25245+17835</f>
        <v>43080</v>
      </c>
      <c r="O3" s="522">
        <v>20010</v>
      </c>
      <c r="P3" s="522">
        <f>29010.49</f>
        <v>29010.49</v>
      </c>
      <c r="Q3" s="522">
        <v>0</v>
      </c>
      <c r="R3" s="522">
        <f>21000</f>
        <v>21000</v>
      </c>
      <c r="T3" s="114"/>
      <c r="U3" s="115"/>
      <c r="V3" s="116"/>
      <c r="W3" s="117"/>
    </row>
    <row r="4" spans="2:23" x14ac:dyDescent="0.25">
      <c r="B4" s="524"/>
      <c r="C4" s="354"/>
      <c r="D4" s="405"/>
      <c r="E4" s="405"/>
      <c r="F4" s="525" t="s">
        <v>58</v>
      </c>
      <c r="G4" s="297">
        <f>G3</f>
        <v>24030</v>
      </c>
      <c r="H4" s="297">
        <f>G4+H3</f>
        <v>63140</v>
      </c>
      <c r="I4" s="297">
        <f t="shared" ref="I4:R4" si="0">H4+I3</f>
        <v>94655</v>
      </c>
      <c r="J4" s="297">
        <f t="shared" si="0"/>
        <v>127755</v>
      </c>
      <c r="K4" s="297">
        <f t="shared" si="0"/>
        <v>146315</v>
      </c>
      <c r="L4" s="297">
        <f t="shared" si="0"/>
        <v>206570</v>
      </c>
      <c r="M4" s="297">
        <f t="shared" si="0"/>
        <v>253730</v>
      </c>
      <c r="N4" s="297">
        <f t="shared" si="0"/>
        <v>296810</v>
      </c>
      <c r="O4" s="297">
        <f t="shared" si="0"/>
        <v>316820</v>
      </c>
      <c r="P4" s="297">
        <f t="shared" si="0"/>
        <v>345830.49</v>
      </c>
      <c r="Q4" s="297">
        <f t="shared" si="0"/>
        <v>345830.49</v>
      </c>
      <c r="R4" s="297">
        <f t="shared" si="0"/>
        <v>366830.49</v>
      </c>
      <c r="T4"/>
      <c r="V4" s="215"/>
    </row>
    <row r="5" spans="2:23" x14ac:dyDescent="0.25">
      <c r="B5" s="533" t="str">
        <f>'CB-17'!B5</f>
        <v>TOTAL EXPENSES</v>
      </c>
      <c r="C5" s="425">
        <f>C7+C20+C27+C76+C35+C59+C45+C62+C67+C71</f>
        <v>1058.1463000000001</v>
      </c>
      <c r="D5" s="298"/>
      <c r="E5" s="536"/>
      <c r="F5" s="325"/>
      <c r="G5" s="298"/>
      <c r="H5" s="298"/>
      <c r="I5" s="298"/>
      <c r="J5" s="298"/>
      <c r="K5" s="298"/>
      <c r="L5" s="298"/>
      <c r="M5" s="298"/>
      <c r="N5" s="298"/>
      <c r="O5" s="298"/>
      <c r="P5" s="298"/>
      <c r="Q5" s="298"/>
      <c r="R5" s="298"/>
      <c r="T5"/>
      <c r="V5" s="215"/>
    </row>
    <row r="6" spans="2:23" x14ac:dyDescent="0.25">
      <c r="B6" s="532" t="str">
        <f>'CB-17'!B6</f>
        <v>NET REVENUE</v>
      </c>
      <c r="C6" s="357">
        <f>C3-C5</f>
        <v>365772.34369999997</v>
      </c>
      <c r="D6" s="304"/>
      <c r="E6" s="304"/>
      <c r="F6" s="305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T6"/>
      <c r="V6" s="215"/>
    </row>
    <row r="7" spans="2:23" x14ac:dyDescent="0.25">
      <c r="B7" s="288" t="s">
        <v>59</v>
      </c>
      <c r="C7" s="289">
        <f>SUM(D8:D14)</f>
        <v>1058.1463000000001</v>
      </c>
      <c r="D7" s="290" t="s">
        <v>60</v>
      </c>
      <c r="E7" s="290" t="s">
        <v>61</v>
      </c>
      <c r="F7" s="290" t="s">
        <v>62</v>
      </c>
      <c r="G7" s="291">
        <f>SUM(G8:G14)</f>
        <v>1171.42</v>
      </c>
      <c r="H7" s="291">
        <f t="shared" ref="H7:R7" si="1">SUM(H8:H14)</f>
        <v>688.25</v>
      </c>
      <c r="I7" s="291">
        <f t="shared" si="1"/>
        <v>200.54</v>
      </c>
      <c r="J7" s="291">
        <f t="shared" si="1"/>
        <v>287.86</v>
      </c>
      <c r="K7" s="291">
        <f t="shared" si="1"/>
        <v>1300.54</v>
      </c>
      <c r="L7" s="291">
        <f t="shared" si="1"/>
        <v>473.27000000000004</v>
      </c>
      <c r="M7" s="291">
        <f t="shared" si="1"/>
        <v>528.96</v>
      </c>
      <c r="N7" s="291">
        <f t="shared" si="1"/>
        <v>328.28</v>
      </c>
      <c r="O7" s="291">
        <f t="shared" si="1"/>
        <v>378.25</v>
      </c>
      <c r="P7" s="291">
        <f t="shared" si="1"/>
        <v>465.94</v>
      </c>
      <c r="Q7" s="291">
        <f t="shared" si="1"/>
        <v>200.54</v>
      </c>
      <c r="R7" s="291">
        <f t="shared" si="1"/>
        <v>200.54</v>
      </c>
      <c r="T7"/>
    </row>
    <row r="8" spans="2:23" x14ac:dyDescent="0.25">
      <c r="B8" s="272" t="str">
        <f>'CB-17'!B8</f>
        <v>Electricity</v>
      </c>
      <c r="C8" s="296">
        <f>D8</f>
        <v>564.34050000000002</v>
      </c>
      <c r="D8" s="273">
        <f t="shared" ref="D8:D34" si="2">E8*F8</f>
        <v>564.34050000000002</v>
      </c>
      <c r="E8" s="274">
        <f>'CB-17'!E8</f>
        <v>0.17</v>
      </c>
      <c r="F8" s="293">
        <f t="shared" ref="F8:F14" si="3">SUM(G8:R8)</f>
        <v>3319.65</v>
      </c>
      <c r="G8" s="294">
        <v>944.98</v>
      </c>
      <c r="H8" s="294">
        <v>366.63</v>
      </c>
      <c r="I8" s="294">
        <v>0</v>
      </c>
      <c r="J8" s="294">
        <v>0</v>
      </c>
      <c r="K8" s="294">
        <v>1100</v>
      </c>
      <c r="L8" s="294">
        <v>272.73</v>
      </c>
      <c r="M8" s="294">
        <v>151.78</v>
      </c>
      <c r="N8" s="294">
        <v>127.74</v>
      </c>
      <c r="O8" s="294">
        <v>177.71</v>
      </c>
      <c r="P8" s="294">
        <v>178.08</v>
      </c>
      <c r="Q8" s="294">
        <v>0</v>
      </c>
      <c r="R8" s="294">
        <v>0</v>
      </c>
      <c r="T8"/>
    </row>
    <row r="9" spans="2:23" x14ac:dyDescent="0.25">
      <c r="B9" s="272" t="str">
        <f>'CB-17'!B9</f>
        <v>Waste &amp; Recycle</v>
      </c>
      <c r="C9" s="296">
        <f t="shared" ref="C9:C30" si="4">D9</f>
        <v>74.412400000000005</v>
      </c>
      <c r="D9" s="273">
        <f t="shared" si="2"/>
        <v>74.412400000000005</v>
      </c>
      <c r="E9" s="274">
        <f>'CB-17'!E9</f>
        <v>0.17</v>
      </c>
      <c r="F9" s="293">
        <f t="shared" si="3"/>
        <v>437.71999999999997</v>
      </c>
      <c r="G9" s="294">
        <v>86.44</v>
      </c>
      <c r="H9" s="294"/>
      <c r="I9" s="294"/>
      <c r="J9" s="294">
        <v>87.32</v>
      </c>
      <c r="K9" s="294"/>
      <c r="L9" s="294"/>
      <c r="M9" s="294">
        <v>176.64</v>
      </c>
      <c r="N9" s="294"/>
      <c r="O9" s="294"/>
      <c r="P9" s="294">
        <v>87.32</v>
      </c>
      <c r="Q9" s="294"/>
      <c r="R9" s="294"/>
      <c r="T9"/>
    </row>
    <row r="10" spans="2:23" x14ac:dyDescent="0.25">
      <c r="B10" s="272" t="str">
        <f>'CB-17'!B10</f>
        <v>Water &amp; Sewer</v>
      </c>
      <c r="C10" s="296">
        <f t="shared" si="4"/>
        <v>0</v>
      </c>
      <c r="D10" s="273">
        <f t="shared" si="2"/>
        <v>0</v>
      </c>
      <c r="E10" s="274">
        <f>'CB-17'!E10</f>
        <v>0.17</v>
      </c>
      <c r="F10" s="293">
        <f t="shared" si="3"/>
        <v>0</v>
      </c>
      <c r="G10" s="294"/>
      <c r="H10" s="294"/>
      <c r="I10" s="294"/>
      <c r="J10" s="294"/>
      <c r="K10" s="294"/>
      <c r="L10" s="294"/>
      <c r="M10" s="294"/>
      <c r="N10" s="294"/>
      <c r="O10" s="294"/>
      <c r="P10" s="294"/>
      <c r="Q10" s="294"/>
      <c r="R10" s="294"/>
      <c r="T10"/>
    </row>
    <row r="11" spans="2:23" x14ac:dyDescent="0.25">
      <c r="B11" s="272" t="str">
        <f>'CB-17'!B11</f>
        <v>Security</v>
      </c>
      <c r="C11" s="296">
        <f t="shared" si="4"/>
        <v>133.79339999999999</v>
      </c>
      <c r="D11" s="273">
        <f t="shared" si="2"/>
        <v>133.79339999999999</v>
      </c>
      <c r="E11" s="274">
        <f>'CB-17'!E11</f>
        <v>0.17</v>
      </c>
      <c r="F11" s="293">
        <f t="shared" si="3"/>
        <v>787.01999999999987</v>
      </c>
      <c r="G11" s="294">
        <v>0</v>
      </c>
      <c r="H11" s="294">
        <v>181.62</v>
      </c>
      <c r="I11" s="294">
        <v>60.54</v>
      </c>
      <c r="J11" s="294">
        <v>60.54</v>
      </c>
      <c r="K11" s="294">
        <v>60.54</v>
      </c>
      <c r="L11" s="294">
        <v>60.54</v>
      </c>
      <c r="M11" s="294">
        <v>60.54</v>
      </c>
      <c r="N11" s="294">
        <v>60.54</v>
      </c>
      <c r="O11" s="294">
        <v>60.54</v>
      </c>
      <c r="P11" s="294">
        <v>60.54</v>
      </c>
      <c r="Q11" s="294">
        <v>60.54</v>
      </c>
      <c r="R11" s="294">
        <v>60.54</v>
      </c>
      <c r="T11"/>
    </row>
    <row r="12" spans="2:23" x14ac:dyDescent="0.25">
      <c r="B12" s="272" t="str">
        <f>'CB-17'!B12</f>
        <v>Landscaping</v>
      </c>
      <c r="C12" s="296">
        <f t="shared" si="4"/>
        <v>285.60000000000002</v>
      </c>
      <c r="D12" s="273">
        <f t="shared" si="2"/>
        <v>285.60000000000002</v>
      </c>
      <c r="E12" s="274">
        <f>'CB-17'!E12</f>
        <v>0.17</v>
      </c>
      <c r="F12" s="293">
        <f t="shared" si="3"/>
        <v>1680</v>
      </c>
      <c r="G12" s="294">
        <v>140</v>
      </c>
      <c r="H12" s="294">
        <v>140</v>
      </c>
      <c r="I12" s="294">
        <v>140</v>
      </c>
      <c r="J12" s="294">
        <v>140</v>
      </c>
      <c r="K12" s="294">
        <v>140</v>
      </c>
      <c r="L12" s="294">
        <v>140</v>
      </c>
      <c r="M12" s="294">
        <v>140</v>
      </c>
      <c r="N12" s="294">
        <v>140</v>
      </c>
      <c r="O12" s="294">
        <v>140</v>
      </c>
      <c r="P12" s="294">
        <v>140</v>
      </c>
      <c r="Q12" s="294">
        <v>140</v>
      </c>
      <c r="R12" s="294">
        <v>140</v>
      </c>
      <c r="T12"/>
    </row>
    <row r="13" spans="2:23" x14ac:dyDescent="0.25">
      <c r="B13" s="272" t="str">
        <f>'CB-17'!B13</f>
        <v>Home Owners Insurance</v>
      </c>
      <c r="C13" s="296">
        <f t="shared" si="4"/>
        <v>0</v>
      </c>
      <c r="D13" s="273">
        <f t="shared" si="2"/>
        <v>0</v>
      </c>
      <c r="E13" s="274">
        <f>'CB-17'!E13</f>
        <v>0.17</v>
      </c>
      <c r="F13" s="293">
        <f t="shared" si="3"/>
        <v>0</v>
      </c>
      <c r="G13" s="294"/>
      <c r="H13" s="294"/>
      <c r="I13" s="294"/>
      <c r="J13" s="294"/>
      <c r="K13" s="294"/>
      <c r="L13" s="294"/>
      <c r="M13" s="294"/>
      <c r="N13" s="294"/>
      <c r="O13" s="294"/>
      <c r="P13" s="294"/>
      <c r="Q13" s="294"/>
      <c r="R13" s="294"/>
      <c r="T13"/>
    </row>
    <row r="14" spans="2:23" x14ac:dyDescent="0.25">
      <c r="B14" s="272" t="str">
        <f>'CB-17'!B14</f>
        <v>Appliance Maintenance</v>
      </c>
      <c r="C14" s="296">
        <f t="shared" si="4"/>
        <v>0</v>
      </c>
      <c r="D14" s="273">
        <f t="shared" si="2"/>
        <v>0</v>
      </c>
      <c r="E14" s="274">
        <f>'CB-17'!E14</f>
        <v>0.5</v>
      </c>
      <c r="F14" s="293">
        <f t="shared" si="3"/>
        <v>0</v>
      </c>
      <c r="G14" s="294"/>
      <c r="H14" s="294"/>
      <c r="I14" s="294"/>
      <c r="J14" s="294"/>
      <c r="K14" s="294"/>
      <c r="L14" s="294"/>
      <c r="M14" s="294"/>
      <c r="N14" s="294"/>
      <c r="O14" s="294"/>
      <c r="P14" s="294"/>
      <c r="Q14" s="294"/>
      <c r="R14" s="294"/>
      <c r="T14"/>
    </row>
    <row r="15" spans="2:23" x14ac:dyDescent="0.25">
      <c r="B15" s="272" t="str">
        <f>'CB-17'!B15</f>
        <v>Apple Warranty</v>
      </c>
      <c r="C15" s="296">
        <f t="shared" si="4"/>
        <v>0</v>
      </c>
      <c r="D15" s="273">
        <f t="shared" si="2"/>
        <v>0</v>
      </c>
      <c r="E15" s="274">
        <f>'CB-17'!E15</f>
        <v>0.5</v>
      </c>
      <c r="F15" s="293">
        <f t="shared" ref="F15:F26" si="5">SUM(G15:R15)</f>
        <v>0</v>
      </c>
      <c r="G15" s="294"/>
      <c r="H15" s="294"/>
      <c r="I15" s="294"/>
      <c r="J15" s="294"/>
      <c r="K15" s="294"/>
      <c r="L15" s="294"/>
      <c r="M15" s="294"/>
      <c r="N15" s="294"/>
      <c r="O15" s="294"/>
      <c r="P15" s="294"/>
      <c r="Q15" s="294"/>
      <c r="R15" s="294"/>
      <c r="T15"/>
    </row>
    <row r="16" spans="2:23" x14ac:dyDescent="0.25">
      <c r="B16" s="272" t="str">
        <f>'CB-17'!B16</f>
        <v>Computers Warranty</v>
      </c>
      <c r="C16" s="296">
        <f t="shared" si="4"/>
        <v>0</v>
      </c>
      <c r="D16" s="273">
        <f t="shared" si="2"/>
        <v>0</v>
      </c>
      <c r="E16" s="274">
        <f>'CB-17'!E16</f>
        <v>0.5</v>
      </c>
      <c r="F16" s="293">
        <f t="shared" si="5"/>
        <v>0</v>
      </c>
      <c r="G16" s="294"/>
      <c r="H16" s="294"/>
      <c r="I16" s="294"/>
      <c r="J16" s="294"/>
      <c r="K16" s="294"/>
      <c r="L16" s="294"/>
      <c r="M16" s="294"/>
      <c r="N16" s="294"/>
      <c r="O16" s="294"/>
      <c r="P16" s="294"/>
      <c r="Q16" s="294"/>
      <c r="R16" s="294"/>
      <c r="T16"/>
    </row>
    <row r="17" spans="2:20" x14ac:dyDescent="0.25">
      <c r="B17" s="272" t="str">
        <f>'CB-17'!B17</f>
        <v>Cellular Service</v>
      </c>
      <c r="C17" s="296">
        <f t="shared" si="4"/>
        <v>0</v>
      </c>
      <c r="D17" s="273">
        <f t="shared" si="2"/>
        <v>0</v>
      </c>
      <c r="E17" s="274">
        <f>'CB-17'!E17</f>
        <v>0.5</v>
      </c>
      <c r="F17" s="293">
        <f t="shared" si="5"/>
        <v>0</v>
      </c>
      <c r="G17" s="294"/>
      <c r="H17" s="294"/>
      <c r="I17" s="294"/>
      <c r="J17" s="294"/>
      <c r="K17" s="294"/>
      <c r="L17" s="294"/>
      <c r="M17" s="294"/>
      <c r="N17" s="294"/>
      <c r="O17" s="294"/>
      <c r="P17" s="294"/>
      <c r="Q17" s="294"/>
      <c r="R17" s="294"/>
      <c r="T17"/>
    </row>
    <row r="18" spans="2:20" x14ac:dyDescent="0.25">
      <c r="B18" s="272" t="str">
        <f>'CB-17'!B18</f>
        <v>Broadband</v>
      </c>
      <c r="C18" s="296">
        <f t="shared" si="4"/>
        <v>0</v>
      </c>
      <c r="D18" s="273">
        <f t="shared" si="2"/>
        <v>0</v>
      </c>
      <c r="E18" s="274">
        <f>'CB-17'!E18</f>
        <v>0.5</v>
      </c>
      <c r="F18" s="293">
        <f t="shared" si="5"/>
        <v>0</v>
      </c>
      <c r="G18" s="294"/>
      <c r="H18" s="294"/>
      <c r="I18" s="294"/>
      <c r="J18" s="294"/>
      <c r="K18" s="294"/>
      <c r="L18" s="294"/>
      <c r="M18" s="294"/>
      <c r="N18" s="294"/>
      <c r="O18" s="294"/>
      <c r="P18" s="294"/>
      <c r="Q18" s="294"/>
      <c r="R18" s="294"/>
      <c r="T18"/>
    </row>
    <row r="19" spans="2:20" ht="15.75" thickBot="1" x14ac:dyDescent="0.3">
      <c r="B19" s="272" t="str">
        <f>'CB-17'!B19</f>
        <v>TV Cable</v>
      </c>
      <c r="C19" s="296">
        <f t="shared" si="4"/>
        <v>0</v>
      </c>
      <c r="D19" s="273">
        <f t="shared" si="2"/>
        <v>0</v>
      </c>
      <c r="E19" s="274">
        <f>'CB-17'!E19</f>
        <v>0.5</v>
      </c>
      <c r="F19" s="293">
        <f t="shared" si="5"/>
        <v>0</v>
      </c>
      <c r="G19" s="294"/>
      <c r="H19" s="294"/>
      <c r="I19" s="294"/>
      <c r="J19" s="294"/>
      <c r="K19" s="294"/>
      <c r="L19" s="294"/>
      <c r="M19" s="294"/>
      <c r="N19" s="294"/>
      <c r="O19" s="294"/>
      <c r="P19" s="294"/>
      <c r="Q19" s="294"/>
      <c r="R19" s="294"/>
      <c r="T19"/>
    </row>
    <row r="20" spans="2:20" ht="15" customHeight="1" thickBot="1" x14ac:dyDescent="0.3">
      <c r="B20" s="288" t="str">
        <f>'CB-17'!B20</f>
        <v>DEPRECIABLE ASSETS</v>
      </c>
      <c r="C20" s="453">
        <f>SUM(C21:C26)</f>
        <v>0</v>
      </c>
      <c r="D20" s="380" t="s">
        <v>60</v>
      </c>
      <c r="E20" s="380" t="s">
        <v>61</v>
      </c>
      <c r="F20" s="380" t="s">
        <v>62</v>
      </c>
      <c r="G20" s="381">
        <f>SUM(G21:G26)</f>
        <v>0</v>
      </c>
      <c r="H20" s="381">
        <f t="shared" ref="H20:R20" si="6">SUM(H21:H26)</f>
        <v>0</v>
      </c>
      <c r="I20" s="381">
        <f t="shared" si="6"/>
        <v>0</v>
      </c>
      <c r="J20" s="381">
        <f t="shared" si="6"/>
        <v>0</v>
      </c>
      <c r="K20" s="381">
        <f t="shared" si="6"/>
        <v>0</v>
      </c>
      <c r="L20" s="381">
        <f t="shared" si="6"/>
        <v>0</v>
      </c>
      <c r="M20" s="381">
        <f t="shared" si="6"/>
        <v>0</v>
      </c>
      <c r="N20" s="381">
        <f t="shared" si="6"/>
        <v>0</v>
      </c>
      <c r="O20" s="381">
        <f t="shared" si="6"/>
        <v>0</v>
      </c>
      <c r="P20" s="381">
        <f t="shared" si="6"/>
        <v>0</v>
      </c>
      <c r="Q20" s="381">
        <f t="shared" si="6"/>
        <v>0</v>
      </c>
      <c r="R20" s="381">
        <f t="shared" si="6"/>
        <v>0</v>
      </c>
      <c r="T20"/>
    </row>
    <row r="21" spans="2:20" x14ac:dyDescent="0.25">
      <c r="B21" s="272" t="str">
        <f>'CB-17'!B21</f>
        <v>ASUS Laptop</v>
      </c>
      <c r="C21" s="296">
        <f t="shared" si="4"/>
        <v>0</v>
      </c>
      <c r="D21" s="273">
        <f t="shared" si="2"/>
        <v>0</v>
      </c>
      <c r="E21" s="374">
        <f>'CB-17'!E21</f>
        <v>0.5</v>
      </c>
      <c r="F21" s="293">
        <f t="shared" si="5"/>
        <v>0</v>
      </c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T21"/>
    </row>
    <row r="22" spans="2:20" x14ac:dyDescent="0.25">
      <c r="B22" s="272" t="str">
        <f>'CB-17'!B22</f>
        <v>Mobile Device (samsung)</v>
      </c>
      <c r="C22" s="296">
        <f t="shared" si="4"/>
        <v>0</v>
      </c>
      <c r="D22" s="273">
        <f t="shared" si="2"/>
        <v>0</v>
      </c>
      <c r="E22" s="274">
        <f>'CB-17'!E22</f>
        <v>0.5</v>
      </c>
      <c r="F22" s="293">
        <f t="shared" si="5"/>
        <v>0</v>
      </c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T22"/>
    </row>
    <row r="23" spans="2:20" x14ac:dyDescent="0.25">
      <c r="B23" s="272" t="str">
        <f>'CB-17'!B23</f>
        <v>Cellphone Device</v>
      </c>
      <c r="C23" s="296">
        <f t="shared" si="4"/>
        <v>0</v>
      </c>
      <c r="D23" s="273">
        <f t="shared" si="2"/>
        <v>0</v>
      </c>
      <c r="E23" s="274">
        <f>'CB-17'!E23</f>
        <v>0.5</v>
      </c>
      <c r="F23" s="293">
        <f t="shared" si="5"/>
        <v>0</v>
      </c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T23"/>
    </row>
    <row r="24" spans="2:20" x14ac:dyDescent="0.25">
      <c r="B24" s="272" t="str">
        <f>'CB-17'!B24</f>
        <v>Supplies</v>
      </c>
      <c r="C24" s="296">
        <f t="shared" si="4"/>
        <v>0</v>
      </c>
      <c r="D24" s="273">
        <f t="shared" si="2"/>
        <v>0</v>
      </c>
      <c r="E24" s="274">
        <f>'CB-17'!E24</f>
        <v>1</v>
      </c>
      <c r="F24" s="293">
        <f t="shared" si="5"/>
        <v>0</v>
      </c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T24"/>
    </row>
    <row r="25" spans="2:20" x14ac:dyDescent="0.25">
      <c r="B25" s="272" t="str">
        <f>'CB-17'!B25</f>
        <v>Stationaries</v>
      </c>
      <c r="C25" s="296">
        <f t="shared" si="4"/>
        <v>0</v>
      </c>
      <c r="D25" s="273">
        <f t="shared" si="2"/>
        <v>0</v>
      </c>
      <c r="E25" s="274">
        <f>'CB-17'!E25</f>
        <v>1</v>
      </c>
      <c r="F25" s="293">
        <f t="shared" si="5"/>
        <v>0</v>
      </c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T25"/>
    </row>
    <row r="26" spans="2:20" ht="15.75" thickBot="1" x14ac:dyDescent="0.3">
      <c r="B26" s="272" t="str">
        <f>'CB-17'!B26</f>
        <v>Books</v>
      </c>
      <c r="C26" s="296">
        <f t="shared" si="4"/>
        <v>0</v>
      </c>
      <c r="D26" s="273">
        <f t="shared" si="2"/>
        <v>0</v>
      </c>
      <c r="E26" s="314">
        <f>'CB-17'!E26</f>
        <v>1</v>
      </c>
      <c r="F26" s="293">
        <f t="shared" si="5"/>
        <v>0</v>
      </c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T26"/>
    </row>
    <row r="27" spans="2:20" ht="16.5" customHeight="1" thickBot="1" x14ac:dyDescent="0.3">
      <c r="B27" s="288" t="str">
        <f>'CB-17'!B27</f>
        <v>GOVERNMENT FEES</v>
      </c>
      <c r="C27" s="453">
        <f>SUM(C28:C34)</f>
        <v>0</v>
      </c>
      <c r="D27" s="380" t="s">
        <v>60</v>
      </c>
      <c r="E27" s="380" t="s">
        <v>61</v>
      </c>
      <c r="F27" s="380" t="s">
        <v>62</v>
      </c>
      <c r="G27" s="290"/>
      <c r="H27" s="290"/>
      <c r="I27" s="290"/>
      <c r="J27" s="290"/>
      <c r="K27" s="290"/>
      <c r="L27" s="290"/>
      <c r="M27" s="290"/>
      <c r="N27" s="290"/>
      <c r="O27" s="290"/>
      <c r="P27" s="290"/>
      <c r="Q27" s="290"/>
      <c r="R27" s="290"/>
      <c r="T27"/>
    </row>
    <row r="28" spans="2:20" x14ac:dyDescent="0.25">
      <c r="B28" s="295" t="str">
        <f>'CB-17'!B28</f>
        <v>Biz Registration</v>
      </c>
      <c r="C28" s="296">
        <f t="shared" si="4"/>
        <v>0</v>
      </c>
      <c r="D28" s="273">
        <f t="shared" si="2"/>
        <v>0</v>
      </c>
      <c r="E28" s="374">
        <f>'CB-17'!E28</f>
        <v>1</v>
      </c>
      <c r="F28" s="298">
        <f t="shared" ref="F28:F30" si="7">SUM(G28:R28)</f>
        <v>0</v>
      </c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T28"/>
    </row>
    <row r="29" spans="2:20" x14ac:dyDescent="0.25">
      <c r="B29" s="295" t="str">
        <f>'CB-17'!B29</f>
        <v>Licensing</v>
      </c>
      <c r="C29" s="296">
        <f t="shared" si="4"/>
        <v>0</v>
      </c>
      <c r="D29" s="273">
        <f t="shared" si="2"/>
        <v>0</v>
      </c>
      <c r="E29" s="374">
        <f>'CB-17'!E29</f>
        <v>1</v>
      </c>
      <c r="F29" s="298">
        <f t="shared" si="7"/>
        <v>0</v>
      </c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T29"/>
    </row>
    <row r="30" spans="2:20" x14ac:dyDescent="0.25">
      <c r="B30" s="295" t="str">
        <f>'CB-17'!B30</f>
        <v>WA DOR Excise Tax</v>
      </c>
      <c r="C30" s="296">
        <f t="shared" si="4"/>
        <v>0</v>
      </c>
      <c r="D30" s="273">
        <f t="shared" si="2"/>
        <v>0</v>
      </c>
      <c r="E30" s="374">
        <f>'CB-17'!E30</f>
        <v>1</v>
      </c>
      <c r="F30" s="298">
        <f t="shared" si="7"/>
        <v>0</v>
      </c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T30"/>
    </row>
    <row r="31" spans="2:20" x14ac:dyDescent="0.25">
      <c r="B31" s="295" t="str">
        <f>'CB-17'!B31</f>
        <v>Garnishment Fee</v>
      </c>
      <c r="C31" s="298">
        <f t="shared" ref="C31:C34" si="8">F31</f>
        <v>0</v>
      </c>
      <c r="D31" s="273">
        <f t="shared" si="2"/>
        <v>0</v>
      </c>
      <c r="E31" s="374">
        <f>'CB-17'!E31</f>
        <v>1</v>
      </c>
      <c r="F31" s="298">
        <f>SUM(G31:R31)</f>
        <v>0</v>
      </c>
      <c r="G31" s="294"/>
      <c r="H31" s="294"/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T31"/>
    </row>
    <row r="32" spans="2:20" x14ac:dyDescent="0.25">
      <c r="B32" s="295" t="str">
        <f>'CB-17'!B32</f>
        <v>LNI Insurance</v>
      </c>
      <c r="C32" s="298">
        <f t="shared" si="8"/>
        <v>0</v>
      </c>
      <c r="D32" s="273">
        <f t="shared" si="2"/>
        <v>0</v>
      </c>
      <c r="E32" s="374">
        <f>'CB-17'!E32</f>
        <v>1</v>
      </c>
      <c r="F32" s="298">
        <f>SUM(G32:R32)</f>
        <v>0</v>
      </c>
      <c r="G32" s="294"/>
      <c r="H32" s="294"/>
      <c r="I32" s="293"/>
      <c r="J32" s="327"/>
      <c r="K32" s="294"/>
      <c r="L32" s="294"/>
      <c r="M32" s="294"/>
      <c r="N32" s="294"/>
      <c r="O32" s="294"/>
      <c r="P32" s="294"/>
      <c r="Q32" s="294"/>
      <c r="R32" s="294"/>
      <c r="T32"/>
    </row>
    <row r="33" spans="1:23" x14ac:dyDescent="0.25">
      <c r="A33" t="s">
        <v>81</v>
      </c>
      <c r="B33" s="295" t="str">
        <f>'CB-17'!B33</f>
        <v>WA Employment Security</v>
      </c>
      <c r="C33" s="298">
        <f t="shared" si="8"/>
        <v>0</v>
      </c>
      <c r="D33" s="273">
        <f t="shared" si="2"/>
        <v>0</v>
      </c>
      <c r="E33" s="374">
        <f>'CB-17'!E33</f>
        <v>1</v>
      </c>
      <c r="F33" s="298">
        <f>SUM(G33:R33)</f>
        <v>0</v>
      </c>
      <c r="G33" s="294"/>
      <c r="H33" s="294"/>
      <c r="I33" s="294"/>
      <c r="J33" s="294"/>
      <c r="K33" s="294"/>
      <c r="L33" s="294"/>
      <c r="M33" s="294"/>
      <c r="N33" s="294"/>
      <c r="O33" s="294"/>
      <c r="P33" s="294"/>
      <c r="Q33" s="294"/>
      <c r="R33" s="294"/>
      <c r="T33"/>
    </row>
    <row r="34" spans="1:23" ht="15.75" thickBot="1" x14ac:dyDescent="0.3">
      <c r="A34" t="s">
        <v>83</v>
      </c>
      <c r="B34" s="295" t="str">
        <f>'CB-17'!B34</f>
        <v>Commercial Insurance</v>
      </c>
      <c r="C34" s="298">
        <f t="shared" si="8"/>
        <v>0</v>
      </c>
      <c r="D34" s="273">
        <f t="shared" si="2"/>
        <v>0</v>
      </c>
      <c r="E34" s="374">
        <f>'CB-17'!E34</f>
        <v>1</v>
      </c>
      <c r="F34" s="298">
        <f>SUM(G34:R34)</f>
        <v>0</v>
      </c>
      <c r="G34" s="294"/>
      <c r="H34" s="294"/>
      <c r="I34" s="294"/>
      <c r="J34" s="294"/>
      <c r="K34" s="294"/>
      <c r="L34" s="294"/>
      <c r="M34" s="294"/>
      <c r="N34" s="294"/>
      <c r="O34" s="294"/>
      <c r="P34" s="294"/>
      <c r="Q34" s="294"/>
      <c r="R34" s="294"/>
      <c r="T34"/>
    </row>
    <row r="35" spans="1:23" x14ac:dyDescent="0.25">
      <c r="A35" t="s">
        <v>89</v>
      </c>
      <c r="B35" s="288" t="str">
        <f>'CB-17'!B35</f>
        <v>PROFESSIONAL SERVICES</v>
      </c>
      <c r="C35" s="427">
        <f>SUM(C36:C44)</f>
        <v>0</v>
      </c>
      <c r="D35" s="400" t="s">
        <v>60</v>
      </c>
      <c r="E35" s="400" t="s">
        <v>61</v>
      </c>
      <c r="F35" s="400" t="s">
        <v>62</v>
      </c>
      <c r="G35" s="288"/>
      <c r="H35" s="288"/>
      <c r="I35" s="288"/>
      <c r="J35" s="288"/>
      <c r="K35" s="288"/>
      <c r="L35" s="288"/>
      <c r="M35" s="288"/>
      <c r="N35" s="288"/>
      <c r="O35" s="288"/>
      <c r="P35" s="288"/>
      <c r="Q35" s="288"/>
      <c r="R35" s="288"/>
      <c r="T35"/>
    </row>
    <row r="36" spans="1:23" x14ac:dyDescent="0.25">
      <c r="B36" s="272" t="str">
        <f>'CB-17'!B36</f>
        <v>Web Domains</v>
      </c>
      <c r="C36" s="298">
        <f>D36</f>
        <v>0</v>
      </c>
      <c r="D36" s="297">
        <f t="shared" ref="D36:D58" si="9">F36*E36</f>
        <v>0</v>
      </c>
      <c r="E36" s="274">
        <f>'CB-17'!E36</f>
        <v>1</v>
      </c>
      <c r="F36" s="298">
        <f>SUM(G36:R36)</f>
        <v>0</v>
      </c>
      <c r="G36" s="294"/>
      <c r="H36" s="294"/>
      <c r="I36" s="294"/>
      <c r="J36" s="294"/>
      <c r="K36" s="294"/>
      <c r="L36" s="294"/>
      <c r="M36" s="294"/>
      <c r="N36" s="294"/>
      <c r="O36" s="294"/>
      <c r="P36" s="294"/>
      <c r="Q36" s="294"/>
      <c r="R36" s="294"/>
      <c r="T36"/>
    </row>
    <row r="37" spans="1:23" x14ac:dyDescent="0.25">
      <c r="B37" s="272" t="str">
        <f>'CB-17'!B37</f>
        <v>Web Hosting</v>
      </c>
      <c r="C37" s="298">
        <f t="shared" ref="C37:C58" si="10">D37</f>
        <v>0</v>
      </c>
      <c r="D37" s="297">
        <f t="shared" si="9"/>
        <v>0</v>
      </c>
      <c r="E37" s="274">
        <f>'CB-17'!E37</f>
        <v>1</v>
      </c>
      <c r="F37" s="298">
        <f>SUM(G37:R37)</f>
        <v>0</v>
      </c>
      <c r="G37" s="294"/>
      <c r="H37" s="298"/>
      <c r="I37" s="294"/>
      <c r="J37" s="294"/>
      <c r="K37" s="294"/>
      <c r="L37" s="294"/>
      <c r="M37" s="294"/>
      <c r="N37" s="294"/>
      <c r="O37" s="294"/>
      <c r="P37" s="294"/>
      <c r="Q37" s="294"/>
      <c r="R37" s="294"/>
      <c r="T37"/>
    </row>
    <row r="38" spans="1:23" x14ac:dyDescent="0.25">
      <c r="B38" s="272" t="str">
        <f>'CB-17'!B38</f>
        <v>Digital Ads</v>
      </c>
      <c r="C38" s="298">
        <f t="shared" si="10"/>
        <v>0</v>
      </c>
      <c r="D38" s="297">
        <f>F38*E38</f>
        <v>0</v>
      </c>
      <c r="E38" s="274">
        <f>'CB-17'!E38</f>
        <v>1</v>
      </c>
      <c r="F38" s="298">
        <f>SUM(G38:R38)</f>
        <v>0</v>
      </c>
      <c r="G38" s="294"/>
      <c r="H38" s="294"/>
      <c r="I38" s="294"/>
      <c r="J38" s="294"/>
      <c r="K38" s="294"/>
      <c r="L38" s="294"/>
      <c r="M38" s="294"/>
      <c r="N38" s="294"/>
      <c r="O38" s="294"/>
      <c r="P38" s="294"/>
      <c r="Q38" s="294"/>
      <c r="R38" s="294"/>
      <c r="T38" s="128">
        <v>3044</v>
      </c>
      <c r="U38" s="129">
        <v>330</v>
      </c>
      <c r="V38" s="131">
        <v>44766</v>
      </c>
      <c r="W38" s="130" t="s">
        <v>94</v>
      </c>
    </row>
    <row r="39" spans="1:23" x14ac:dyDescent="0.25">
      <c r="B39" s="272" t="str">
        <f>'CB-17'!B39</f>
        <v>Logo Services</v>
      </c>
      <c r="C39" s="298">
        <f t="shared" si="10"/>
        <v>0</v>
      </c>
      <c r="D39" s="297">
        <f t="shared" si="9"/>
        <v>0</v>
      </c>
      <c r="E39" s="274">
        <f>'CB-17'!E39</f>
        <v>1</v>
      </c>
      <c r="F39" s="298">
        <f>SUM(G39:R39)</f>
        <v>0</v>
      </c>
      <c r="G39" s="294"/>
      <c r="H39" s="294"/>
      <c r="I39" s="294"/>
      <c r="J39" s="294"/>
      <c r="K39" s="294"/>
      <c r="L39" s="294"/>
      <c r="M39" s="294"/>
      <c r="N39" s="294"/>
      <c r="O39" s="294"/>
      <c r="P39" s="294"/>
      <c r="Q39" s="294"/>
      <c r="R39" s="294"/>
      <c r="T39" s="114">
        <v>3583</v>
      </c>
      <c r="U39" s="115">
        <v>300</v>
      </c>
      <c r="V39" s="116">
        <v>44745</v>
      </c>
      <c r="W39" s="117" t="s">
        <v>96</v>
      </c>
    </row>
    <row r="40" spans="1:23" x14ac:dyDescent="0.25">
      <c r="B40" s="272" t="str">
        <f>'CB-17'!B40</f>
        <v>Temp Services</v>
      </c>
      <c r="C40" s="298">
        <f t="shared" si="10"/>
        <v>0</v>
      </c>
      <c r="D40" s="297">
        <f t="shared" si="9"/>
        <v>0</v>
      </c>
      <c r="E40" s="274">
        <f>'CB-17'!E40</f>
        <v>1</v>
      </c>
      <c r="F40" s="298">
        <f>SUM(G40:R40)</f>
        <v>0</v>
      </c>
      <c r="G40" s="294"/>
      <c r="H40" s="294"/>
      <c r="I40" s="294"/>
      <c r="J40" s="294"/>
      <c r="K40" s="294"/>
      <c r="L40" s="294"/>
      <c r="M40" s="294"/>
      <c r="N40" s="294"/>
      <c r="O40" s="294"/>
      <c r="P40" s="294"/>
      <c r="Q40" s="294"/>
      <c r="R40" s="294"/>
      <c r="T40" s="128">
        <v>9917</v>
      </c>
      <c r="U40" s="129">
        <v>200</v>
      </c>
      <c r="V40" s="131">
        <v>44760</v>
      </c>
      <c r="W40" s="130" t="s">
        <v>98</v>
      </c>
    </row>
    <row r="41" spans="1:23" x14ac:dyDescent="0.25">
      <c r="B41" s="272" t="str">
        <f>'CB-17'!B41</f>
        <v>Professional Services</v>
      </c>
      <c r="C41" s="298">
        <f t="shared" si="10"/>
        <v>0</v>
      </c>
      <c r="D41" s="297">
        <f t="shared" si="9"/>
        <v>0</v>
      </c>
      <c r="E41" s="274">
        <f>'CB-17'!E41</f>
        <v>1</v>
      </c>
      <c r="F41" s="298">
        <f>SUM(H41:R41)</f>
        <v>0</v>
      </c>
      <c r="G41" s="294"/>
      <c r="H41" s="294"/>
      <c r="I41" s="294"/>
      <c r="J41" s="294"/>
      <c r="K41" s="294"/>
      <c r="L41" s="294"/>
      <c r="M41" s="294"/>
      <c r="N41" s="294"/>
      <c r="O41" s="294"/>
      <c r="P41" s="294"/>
      <c r="Q41" s="294"/>
      <c r="R41" s="294"/>
      <c r="T41" s="128">
        <v>3022</v>
      </c>
      <c r="U41" s="129">
        <v>570</v>
      </c>
      <c r="V41" s="131">
        <v>44779</v>
      </c>
      <c r="W41" s="130" t="s">
        <v>94</v>
      </c>
    </row>
    <row r="42" spans="1:23" x14ac:dyDescent="0.25">
      <c r="B42" s="272" t="str">
        <f>'CB-17'!B42</f>
        <v>Bank Fees</v>
      </c>
      <c r="C42" s="298">
        <f t="shared" si="10"/>
        <v>0</v>
      </c>
      <c r="D42" s="297">
        <f t="shared" si="9"/>
        <v>0</v>
      </c>
      <c r="E42" s="274">
        <f>'CB-17'!E42</f>
        <v>1</v>
      </c>
      <c r="F42" s="298">
        <f t="shared" ref="F42:F58" si="11">SUM(G42:R42)</f>
        <v>0</v>
      </c>
      <c r="G42" s="294"/>
      <c r="H42" s="294"/>
      <c r="I42" s="294"/>
      <c r="J42" s="294"/>
      <c r="K42" s="294"/>
      <c r="L42" s="294"/>
      <c r="M42" s="294"/>
      <c r="N42" s="294"/>
      <c r="O42" s="294"/>
      <c r="P42" s="294"/>
      <c r="Q42" s="294"/>
      <c r="R42" s="294"/>
      <c r="T42" s="128">
        <v>3023</v>
      </c>
      <c r="U42" s="129">
        <v>350</v>
      </c>
      <c r="V42" s="131">
        <v>44779</v>
      </c>
      <c r="W42" s="130" t="s">
        <v>94</v>
      </c>
    </row>
    <row r="43" spans="1:23" x14ac:dyDescent="0.25">
      <c r="B43" s="272" t="str">
        <f>'CB-17'!B43</f>
        <v>Legal Membership</v>
      </c>
      <c r="C43" s="298">
        <f t="shared" si="10"/>
        <v>0</v>
      </c>
      <c r="D43" s="297">
        <f t="shared" si="9"/>
        <v>0</v>
      </c>
      <c r="E43" s="274">
        <f>'CB-17'!E43</f>
        <v>1</v>
      </c>
      <c r="F43" s="298">
        <f t="shared" si="11"/>
        <v>0</v>
      </c>
      <c r="G43" s="294"/>
      <c r="H43" s="294"/>
      <c r="I43" s="294"/>
      <c r="J43" s="294"/>
      <c r="K43" s="294"/>
      <c r="L43" s="294"/>
      <c r="M43" s="294"/>
      <c r="N43" s="294"/>
      <c r="O43" s="294"/>
      <c r="P43" s="294"/>
      <c r="Q43" s="294"/>
      <c r="R43" s="294"/>
      <c r="T43" s="128">
        <v>3024</v>
      </c>
      <c r="U43" s="129">
        <v>151</v>
      </c>
      <c r="V43" s="131">
        <v>44794</v>
      </c>
      <c r="W43" s="130" t="s">
        <v>94</v>
      </c>
    </row>
    <row r="44" spans="1:23" ht="15.75" thickBot="1" x14ac:dyDescent="0.3">
      <c r="B44" s="272" t="str">
        <f>'CB-17'!B44</f>
        <v>Business Insurance</v>
      </c>
      <c r="C44" s="298">
        <f t="shared" si="10"/>
        <v>0</v>
      </c>
      <c r="D44" s="297">
        <f t="shared" si="9"/>
        <v>0</v>
      </c>
      <c r="E44" s="274">
        <f>'CB-17'!E44</f>
        <v>1</v>
      </c>
      <c r="F44" s="298">
        <f t="shared" si="11"/>
        <v>0</v>
      </c>
      <c r="G44" s="294"/>
      <c r="H44" s="294"/>
      <c r="I44" s="294"/>
      <c r="J44" s="294"/>
      <c r="K44" s="294"/>
      <c r="L44" s="294"/>
      <c r="M44" s="294"/>
      <c r="N44" s="294"/>
      <c r="O44" s="294"/>
      <c r="P44" s="294"/>
      <c r="Q44" s="294"/>
      <c r="R44" s="294"/>
      <c r="T44" s="128">
        <v>3025</v>
      </c>
      <c r="U44" s="129">
        <v>180</v>
      </c>
      <c r="V44" s="131">
        <v>44794</v>
      </c>
      <c r="W44" s="130" t="s">
        <v>94</v>
      </c>
    </row>
    <row r="45" spans="1:23" ht="15.75" thickBot="1" x14ac:dyDescent="0.3">
      <c r="B45" s="428" t="s">
        <v>114</v>
      </c>
      <c r="C45" s="429">
        <f>SUM(C46:C58)</f>
        <v>0</v>
      </c>
      <c r="D45" s="401" t="s">
        <v>60</v>
      </c>
      <c r="E45" s="401" t="s">
        <v>61</v>
      </c>
      <c r="F45" s="401" t="s">
        <v>62</v>
      </c>
      <c r="G45" s="381">
        <f t="shared" ref="G45:R45" si="12">SUM(G46:G58)</f>
        <v>0</v>
      </c>
      <c r="H45" s="381">
        <f t="shared" si="12"/>
        <v>0</v>
      </c>
      <c r="I45" s="381">
        <f t="shared" si="12"/>
        <v>0</v>
      </c>
      <c r="J45" s="381">
        <f t="shared" si="12"/>
        <v>0</v>
      </c>
      <c r="K45" s="381">
        <f t="shared" si="12"/>
        <v>0</v>
      </c>
      <c r="L45" s="381">
        <f t="shared" si="12"/>
        <v>0</v>
      </c>
      <c r="M45" s="381">
        <f t="shared" si="12"/>
        <v>0</v>
      </c>
      <c r="N45" s="381">
        <f t="shared" si="12"/>
        <v>0</v>
      </c>
      <c r="O45" s="381">
        <f t="shared" si="12"/>
        <v>0</v>
      </c>
      <c r="P45" s="381">
        <f t="shared" si="12"/>
        <v>0</v>
      </c>
      <c r="Q45" s="381">
        <f t="shared" si="12"/>
        <v>0</v>
      </c>
      <c r="R45" s="381">
        <f t="shared" si="12"/>
        <v>0</v>
      </c>
      <c r="T45" s="114">
        <v>3584</v>
      </c>
      <c r="U45" s="115">
        <v>300</v>
      </c>
      <c r="V45" s="116">
        <v>44776</v>
      </c>
      <c r="W45" s="117" t="s">
        <v>96</v>
      </c>
    </row>
    <row r="46" spans="1:23" x14ac:dyDescent="0.25">
      <c r="B46" s="272" t="str">
        <f>'CB-17'!B46</f>
        <v>Apple.com</v>
      </c>
      <c r="C46" s="298">
        <f t="shared" si="10"/>
        <v>0</v>
      </c>
      <c r="D46" s="297">
        <f t="shared" si="9"/>
        <v>0</v>
      </c>
      <c r="E46" s="374">
        <f>'CB-17'!E46</f>
        <v>0.5</v>
      </c>
      <c r="F46" s="298">
        <f t="shared" si="11"/>
        <v>0</v>
      </c>
      <c r="G46" s="294"/>
      <c r="H46" s="294"/>
      <c r="I46" s="294"/>
      <c r="J46" s="294"/>
      <c r="K46" s="294"/>
      <c r="L46" s="294"/>
      <c r="M46" s="294"/>
      <c r="N46" s="294"/>
      <c r="O46" s="294"/>
      <c r="P46" s="294"/>
      <c r="Q46" s="294"/>
      <c r="R46" s="294"/>
      <c r="T46" s="128">
        <v>9918</v>
      </c>
      <c r="U46" s="129">
        <v>200</v>
      </c>
      <c r="V46" s="131">
        <v>44793</v>
      </c>
      <c r="W46" s="130" t="s">
        <v>98</v>
      </c>
    </row>
    <row r="47" spans="1:23" x14ac:dyDescent="0.25">
      <c r="B47" s="272" t="str">
        <f>'CB-17'!B47</f>
        <v>Audible.com</v>
      </c>
      <c r="C47" s="298">
        <f t="shared" si="10"/>
        <v>0</v>
      </c>
      <c r="D47" s="297">
        <f t="shared" si="9"/>
        <v>0</v>
      </c>
      <c r="E47" s="274">
        <f>'CB-17'!E47</f>
        <v>1</v>
      </c>
      <c r="F47" s="298">
        <f t="shared" si="11"/>
        <v>0</v>
      </c>
      <c r="G47" s="294"/>
      <c r="H47" s="294"/>
      <c r="I47" s="294"/>
      <c r="J47" s="294"/>
      <c r="K47" s="294"/>
      <c r="L47" s="294"/>
      <c r="M47" s="294"/>
      <c r="N47" s="294"/>
      <c r="O47" s="294"/>
      <c r="P47" s="294"/>
      <c r="Q47" s="294"/>
      <c r="R47" s="294"/>
      <c r="T47" s="128">
        <v>3045</v>
      </c>
      <c r="U47" s="129">
        <v>135</v>
      </c>
      <c r="V47" s="131">
        <v>44814</v>
      </c>
      <c r="W47" s="130" t="s">
        <v>94</v>
      </c>
    </row>
    <row r="48" spans="1:23" x14ac:dyDescent="0.25">
      <c r="B48" s="272" t="str">
        <f>'CB-17'!B48</f>
        <v>Amazon</v>
      </c>
      <c r="C48" s="298">
        <f t="shared" si="10"/>
        <v>0</v>
      </c>
      <c r="D48" s="297">
        <f t="shared" si="9"/>
        <v>0</v>
      </c>
      <c r="E48" s="274">
        <f>'CB-17'!E48</f>
        <v>0.5</v>
      </c>
      <c r="F48" s="298">
        <f t="shared" si="11"/>
        <v>0</v>
      </c>
      <c r="G48" s="537"/>
      <c r="H48" s="537"/>
      <c r="I48" s="537"/>
      <c r="J48" s="537"/>
      <c r="K48" s="537"/>
      <c r="L48" s="537"/>
      <c r="M48" s="537"/>
      <c r="N48" s="537"/>
      <c r="O48" s="537"/>
      <c r="P48" s="537"/>
      <c r="Q48" s="537"/>
      <c r="R48" s="537"/>
      <c r="T48" s="128">
        <v>3046</v>
      </c>
      <c r="U48" s="129">
        <v>165</v>
      </c>
      <c r="V48" s="131">
        <v>44814</v>
      </c>
      <c r="W48" s="130" t="s">
        <v>94</v>
      </c>
    </row>
    <row r="49" spans="2:23" x14ac:dyDescent="0.25">
      <c r="B49" s="272" t="str">
        <f>'CB-17'!B49</f>
        <v>Cloud Academy</v>
      </c>
      <c r="C49" s="298">
        <f t="shared" si="10"/>
        <v>0</v>
      </c>
      <c r="D49" s="297">
        <f t="shared" si="9"/>
        <v>0</v>
      </c>
      <c r="E49" s="274">
        <f>'CB-17'!E49</f>
        <v>1</v>
      </c>
      <c r="F49" s="298">
        <f t="shared" si="11"/>
        <v>0</v>
      </c>
      <c r="G49" s="294"/>
      <c r="H49" s="294"/>
      <c r="I49" s="294"/>
      <c r="J49" s="294"/>
      <c r="K49" s="294"/>
      <c r="L49" s="294"/>
      <c r="M49" s="294"/>
      <c r="N49" s="294"/>
      <c r="O49" s="294"/>
      <c r="P49" s="294"/>
      <c r="Q49" s="294"/>
      <c r="R49" s="294"/>
      <c r="T49" s="114">
        <v>3583</v>
      </c>
      <c r="U49" s="115">
        <v>300</v>
      </c>
      <c r="V49" s="116">
        <v>44808</v>
      </c>
      <c r="W49" s="117" t="s">
        <v>96</v>
      </c>
    </row>
    <row r="50" spans="2:23" x14ac:dyDescent="0.25">
      <c r="B50" s="272" t="str">
        <f>'CB-17'!B50</f>
        <v>Packt</v>
      </c>
      <c r="C50" s="298">
        <f t="shared" si="10"/>
        <v>0</v>
      </c>
      <c r="D50" s="297">
        <f t="shared" si="9"/>
        <v>0</v>
      </c>
      <c r="E50" s="274">
        <f>'CB-17'!E50</f>
        <v>1</v>
      </c>
      <c r="F50" s="298">
        <f t="shared" si="11"/>
        <v>0</v>
      </c>
      <c r="G50" s="294"/>
      <c r="H50" s="294"/>
      <c r="I50" s="294"/>
      <c r="J50" s="294"/>
      <c r="K50" s="294"/>
      <c r="L50" s="294"/>
      <c r="M50" s="294"/>
      <c r="N50" s="294"/>
      <c r="O50" s="294"/>
      <c r="P50" s="294"/>
      <c r="Q50" s="294"/>
      <c r="R50" s="294"/>
      <c r="T50" s="128">
        <v>9919</v>
      </c>
      <c r="U50" s="129">
        <v>200</v>
      </c>
      <c r="V50" s="131">
        <v>44822</v>
      </c>
      <c r="W50" s="130" t="s">
        <v>98</v>
      </c>
    </row>
    <row r="51" spans="2:23" x14ac:dyDescent="0.25">
      <c r="B51" s="272" t="str">
        <f>'CB-17'!B51</f>
        <v>Pluralsight</v>
      </c>
      <c r="C51" s="298">
        <f t="shared" si="10"/>
        <v>0</v>
      </c>
      <c r="D51" s="297">
        <f t="shared" si="9"/>
        <v>0</v>
      </c>
      <c r="E51" s="274">
        <f>'CB-17'!E51</f>
        <v>1</v>
      </c>
      <c r="F51" s="298">
        <f t="shared" si="11"/>
        <v>0</v>
      </c>
      <c r="G51" s="294"/>
      <c r="H51" s="294"/>
      <c r="I51" s="294"/>
      <c r="J51" s="294"/>
      <c r="K51" s="294"/>
      <c r="L51" s="294"/>
      <c r="M51" s="294"/>
      <c r="N51" s="294"/>
      <c r="O51" s="294"/>
      <c r="P51" s="294"/>
      <c r="Q51" s="294"/>
      <c r="R51" s="294"/>
      <c r="T51" s="114">
        <v>3586</v>
      </c>
      <c r="U51" s="115">
        <v>300</v>
      </c>
      <c r="V51" s="116">
        <v>44838</v>
      </c>
      <c r="W51" s="117" t="s">
        <v>96</v>
      </c>
    </row>
    <row r="52" spans="2:23" x14ac:dyDescent="0.25">
      <c r="B52" s="272" t="str">
        <f>'CB-17'!B52</f>
        <v>Linux Academy</v>
      </c>
      <c r="C52" s="298">
        <f t="shared" si="10"/>
        <v>0</v>
      </c>
      <c r="D52" s="297">
        <f t="shared" si="9"/>
        <v>0</v>
      </c>
      <c r="E52" s="274">
        <f>'CB-17'!E52</f>
        <v>1</v>
      </c>
      <c r="F52" s="298">
        <f t="shared" si="11"/>
        <v>0</v>
      </c>
      <c r="G52" s="294"/>
      <c r="H52" s="294"/>
      <c r="I52" s="294"/>
      <c r="J52" s="294"/>
      <c r="K52" s="294"/>
      <c r="L52" s="294"/>
      <c r="M52" s="294"/>
      <c r="N52" s="294"/>
      <c r="O52" s="294"/>
      <c r="P52" s="294"/>
      <c r="Q52" s="294"/>
      <c r="R52" s="294"/>
      <c r="T52" s="128">
        <v>9920</v>
      </c>
      <c r="U52" s="129">
        <v>200</v>
      </c>
      <c r="V52" s="131">
        <v>44852</v>
      </c>
      <c r="W52" s="130" t="s">
        <v>98</v>
      </c>
    </row>
    <row r="53" spans="2:23" x14ac:dyDescent="0.25">
      <c r="B53" s="272" t="str">
        <f>'CB-17'!B53</f>
        <v>Adobe</v>
      </c>
      <c r="C53" s="298">
        <f t="shared" si="10"/>
        <v>0</v>
      </c>
      <c r="D53" s="297">
        <f t="shared" si="9"/>
        <v>0</v>
      </c>
      <c r="E53" s="274">
        <f>'CB-17'!E53</f>
        <v>1</v>
      </c>
      <c r="F53" s="298">
        <f t="shared" si="11"/>
        <v>0</v>
      </c>
      <c r="G53" s="294"/>
      <c r="H53" s="294"/>
      <c r="I53" s="294"/>
      <c r="J53" s="294"/>
      <c r="K53" s="294"/>
      <c r="L53" s="294"/>
      <c r="M53" s="294"/>
      <c r="N53" s="294"/>
      <c r="O53" s="294"/>
      <c r="P53" s="294"/>
      <c r="Q53" s="294"/>
      <c r="R53" s="294"/>
      <c r="T53" s="114">
        <v>101</v>
      </c>
      <c r="U53" s="115">
        <v>80</v>
      </c>
      <c r="V53" s="116">
        <v>44879</v>
      </c>
      <c r="W53" s="117" t="s">
        <v>109</v>
      </c>
    </row>
    <row r="54" spans="2:23" x14ac:dyDescent="0.25">
      <c r="B54" s="272" t="str">
        <f>'CB-17'!B54</f>
        <v>O365</v>
      </c>
      <c r="C54" s="298">
        <f t="shared" si="10"/>
        <v>0</v>
      </c>
      <c r="D54" s="297">
        <f t="shared" si="9"/>
        <v>0</v>
      </c>
      <c r="E54" s="274">
        <f>'CB-17'!E54</f>
        <v>1</v>
      </c>
      <c r="F54" s="298">
        <f t="shared" si="11"/>
        <v>0</v>
      </c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T54" s="128">
        <v>1004</v>
      </c>
      <c r="U54" s="129">
        <v>6000</v>
      </c>
      <c r="V54" s="131">
        <v>44890</v>
      </c>
      <c r="W54" s="130" t="s">
        <v>111</v>
      </c>
    </row>
    <row r="55" spans="2:23" x14ac:dyDescent="0.25">
      <c r="B55" s="272" t="str">
        <f>'CB-17'!B55</f>
        <v>Microsoft Alumni</v>
      </c>
      <c r="C55" s="298">
        <f t="shared" si="10"/>
        <v>0</v>
      </c>
      <c r="D55" s="297">
        <f t="shared" si="9"/>
        <v>0</v>
      </c>
      <c r="E55" s="274">
        <f>'CB-17'!E55</f>
        <v>1</v>
      </c>
      <c r="F55" s="298">
        <f t="shared" si="11"/>
        <v>0</v>
      </c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T55" s="114">
        <v>3587</v>
      </c>
      <c r="U55" s="115">
        <v>238.18</v>
      </c>
      <c r="V55" s="116">
        <v>44870</v>
      </c>
      <c r="W55" s="117" t="s">
        <v>96</v>
      </c>
    </row>
    <row r="56" spans="2:23" x14ac:dyDescent="0.25">
      <c r="B56" s="272" t="str">
        <f>'CB-17'!B56</f>
        <v>LinkedIn</v>
      </c>
      <c r="C56" s="298">
        <f t="shared" si="10"/>
        <v>0</v>
      </c>
      <c r="D56" s="297">
        <f t="shared" si="9"/>
        <v>0</v>
      </c>
      <c r="E56" s="274">
        <f>'CB-17'!E56</f>
        <v>1</v>
      </c>
      <c r="F56" s="298">
        <f t="shared" si="11"/>
        <v>0</v>
      </c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T56" s="128">
        <v>9921</v>
      </c>
      <c r="U56" s="129">
        <v>200</v>
      </c>
      <c r="V56" s="131">
        <v>44885</v>
      </c>
      <c r="W56" s="130" t="s">
        <v>98</v>
      </c>
    </row>
    <row r="57" spans="2:23" x14ac:dyDescent="0.25">
      <c r="B57" s="272" t="str">
        <f>'CB-17'!B57</f>
        <v>DOODLY</v>
      </c>
      <c r="C57" s="298">
        <f t="shared" si="10"/>
        <v>0</v>
      </c>
      <c r="D57" s="297">
        <f t="shared" si="9"/>
        <v>0</v>
      </c>
      <c r="E57" s="274">
        <f>'CB-17'!E57</f>
        <v>1</v>
      </c>
      <c r="F57" s="298">
        <f t="shared" si="11"/>
        <v>0</v>
      </c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T57" s="114">
        <v>103</v>
      </c>
      <c r="U57" s="115">
        <v>1230.57</v>
      </c>
      <c r="V57" s="116">
        <v>44898</v>
      </c>
      <c r="W57" s="117" t="s">
        <v>109</v>
      </c>
    </row>
    <row r="58" spans="2:23" ht="15.75" thickBot="1" x14ac:dyDescent="0.3">
      <c r="B58" s="272" t="str">
        <f>'CB-17'!B58</f>
        <v>Whizlabs</v>
      </c>
      <c r="C58" s="298">
        <f t="shared" si="10"/>
        <v>0</v>
      </c>
      <c r="D58" s="297">
        <f t="shared" si="9"/>
        <v>0</v>
      </c>
      <c r="E58" s="274">
        <f>'CB-17'!E58</f>
        <v>1</v>
      </c>
      <c r="F58" s="298">
        <f t="shared" si="11"/>
        <v>0</v>
      </c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T58" s="114">
        <v>3047</v>
      </c>
      <c r="U58" s="115">
        <v>1449.68</v>
      </c>
      <c r="V58" s="116">
        <v>44913</v>
      </c>
      <c r="W58" s="117" t="s">
        <v>109</v>
      </c>
    </row>
    <row r="59" spans="2:23" ht="15.75" thickBot="1" x14ac:dyDescent="0.3">
      <c r="B59" s="288" t="str">
        <f>'CB-17'!B59</f>
        <v>AUTO MILEAGE</v>
      </c>
      <c r="C59" s="391">
        <f>C60</f>
        <v>0</v>
      </c>
      <c r="D59" s="380" t="s">
        <v>60</v>
      </c>
      <c r="E59" s="380" t="s">
        <v>61</v>
      </c>
      <c r="F59" s="380" t="s">
        <v>62</v>
      </c>
      <c r="G59" s="288"/>
      <c r="H59" s="288"/>
      <c r="I59" s="288"/>
      <c r="J59" s="288"/>
      <c r="K59" s="288"/>
      <c r="L59" s="288"/>
      <c r="M59" s="288"/>
      <c r="N59" s="288"/>
      <c r="O59" s="288"/>
      <c r="P59" s="288"/>
      <c r="Q59" s="288"/>
      <c r="R59" s="288"/>
      <c r="T59" s="128">
        <v>9922</v>
      </c>
      <c r="U59" s="129">
        <v>200</v>
      </c>
      <c r="V59" s="131">
        <v>44913</v>
      </c>
      <c r="W59" s="130" t="s">
        <v>98</v>
      </c>
    </row>
    <row r="60" spans="2:23" x14ac:dyDescent="0.25">
      <c r="B60" s="454" t="str">
        <f>B1&amp;" IRS rate:"</f>
        <v>2022 IRS rate:</v>
      </c>
      <c r="C60" s="362">
        <f>D60</f>
        <v>0</v>
      </c>
      <c r="D60" s="25">
        <f>E60*F60</f>
        <v>0</v>
      </c>
      <c r="E60" s="501">
        <v>0.56000000000000005</v>
      </c>
      <c r="F60" s="350">
        <f>SUM(G60:R60)</f>
        <v>0</v>
      </c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</row>
    <row r="61" spans="2:23" ht="15.75" thickBot="1" x14ac:dyDescent="0.3">
      <c r="B61" s="288" t="str">
        <f>'CB-17'!B61</f>
        <v>SETUP EXPENSES</v>
      </c>
      <c r="C61" s="458"/>
      <c r="D61" s="288"/>
      <c r="E61" s="288"/>
      <c r="F61" s="288"/>
      <c r="G61" s="288"/>
      <c r="H61" s="288"/>
      <c r="I61" s="288"/>
      <c r="J61" s="288"/>
      <c r="K61" s="288"/>
      <c r="L61" s="288"/>
      <c r="M61" s="288"/>
      <c r="N61" s="288"/>
      <c r="O61" s="288"/>
      <c r="P61" s="288"/>
      <c r="Q61" s="288"/>
      <c r="R61" s="288"/>
    </row>
    <row r="62" spans="2:23" ht="15.75" thickBot="1" x14ac:dyDescent="0.3">
      <c r="B62" s="288" t="str">
        <f>'CB-17'!B62</f>
        <v>WOODRIDGE OFFICE RENOVATION</v>
      </c>
      <c r="C62" s="453">
        <f>'CB-17'!C62</f>
        <v>0</v>
      </c>
      <c r="D62" s="380" t="s">
        <v>60</v>
      </c>
      <c r="E62" s="380" t="s">
        <v>61</v>
      </c>
      <c r="F62" s="380" t="s">
        <v>62</v>
      </c>
      <c r="G62" s="459"/>
      <c r="H62" s="288"/>
      <c r="I62" s="288"/>
      <c r="J62" s="288"/>
      <c r="K62" s="288"/>
      <c r="L62" s="288"/>
      <c r="M62" s="288"/>
      <c r="N62" s="288"/>
      <c r="O62" s="288"/>
      <c r="P62" s="288"/>
      <c r="Q62" s="288"/>
      <c r="R62" s="288"/>
    </row>
    <row r="63" spans="2:23" x14ac:dyDescent="0.25">
      <c r="B63" s="547" t="str">
        <f>'CB-17'!B63</f>
        <v>Flooring</v>
      </c>
      <c r="C63" s="298">
        <f t="shared" ref="C63:C70" si="13">D63</f>
        <v>0</v>
      </c>
      <c r="D63" s="297">
        <f t="shared" ref="D63:D66" si="14">F63*E63</f>
        <v>0</v>
      </c>
      <c r="E63" s="274">
        <f>'CB-17'!E63</f>
        <v>1</v>
      </c>
      <c r="F63" s="298">
        <f t="shared" ref="F63:F66" si="15">SUM(G63:R63)</f>
        <v>0</v>
      </c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</row>
    <row r="64" spans="2:23" x14ac:dyDescent="0.25">
      <c r="B64" s="547" t="str">
        <f>'CB-17'!B64</f>
        <v>Paint</v>
      </c>
      <c r="C64" s="298">
        <f t="shared" si="13"/>
        <v>0</v>
      </c>
      <c r="D64" s="297">
        <f t="shared" si="14"/>
        <v>0</v>
      </c>
      <c r="E64" s="274">
        <f>'CB-17'!E64</f>
        <v>1</v>
      </c>
      <c r="F64" s="298">
        <f t="shared" si="15"/>
        <v>0</v>
      </c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</row>
    <row r="65" spans="2:18" x14ac:dyDescent="0.25">
      <c r="B65" s="547" t="str">
        <f>'CB-17'!B65</f>
        <v>bathroom</v>
      </c>
      <c r="C65" s="298">
        <f t="shared" si="13"/>
        <v>0</v>
      </c>
      <c r="D65" s="297">
        <f t="shared" si="14"/>
        <v>0</v>
      </c>
      <c r="E65" s="274">
        <f>'CB-17'!E65</f>
        <v>1</v>
      </c>
      <c r="F65" s="298">
        <f t="shared" si="15"/>
        <v>0</v>
      </c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</row>
    <row r="66" spans="2:18" ht="15.75" thickBot="1" x14ac:dyDescent="0.3">
      <c r="B66" s="547" t="str">
        <f>'CB-17'!B66</f>
        <v>electrical work</v>
      </c>
      <c r="C66" s="298">
        <f t="shared" si="13"/>
        <v>0</v>
      </c>
      <c r="D66" s="297">
        <f t="shared" si="14"/>
        <v>0</v>
      </c>
      <c r="E66" s="314">
        <f>'CB-17'!E66</f>
        <v>1</v>
      </c>
      <c r="F66" s="298">
        <f t="shared" si="15"/>
        <v>0</v>
      </c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</row>
    <row r="67" spans="2:18" ht="15.75" thickBot="1" x14ac:dyDescent="0.3">
      <c r="B67" s="288" t="str">
        <f>'CB-17'!B67</f>
        <v>INDIA OFFICE RENOVATION</v>
      </c>
      <c r="C67" s="391">
        <f>SUM(C68:C70)</f>
        <v>0</v>
      </c>
      <c r="D67" s="380" t="s">
        <v>60</v>
      </c>
      <c r="E67" s="380" t="s">
        <v>61</v>
      </c>
      <c r="F67" s="380" t="s">
        <v>62</v>
      </c>
      <c r="G67" s="381">
        <f>SUM(G68:G70)</f>
        <v>0</v>
      </c>
      <c r="H67" s="381">
        <f t="shared" ref="H67:R67" si="16">SUM(H68:H70)</f>
        <v>0</v>
      </c>
      <c r="I67" s="381">
        <f t="shared" si="16"/>
        <v>0</v>
      </c>
      <c r="J67" s="381">
        <f t="shared" si="16"/>
        <v>0</v>
      </c>
      <c r="K67" s="381">
        <f t="shared" si="16"/>
        <v>0</v>
      </c>
      <c r="L67" s="381">
        <f t="shared" si="16"/>
        <v>0</v>
      </c>
      <c r="M67" s="381">
        <f t="shared" si="16"/>
        <v>0</v>
      </c>
      <c r="N67" s="381">
        <f t="shared" si="16"/>
        <v>0</v>
      </c>
      <c r="O67" s="381">
        <f t="shared" si="16"/>
        <v>0</v>
      </c>
      <c r="P67" s="381">
        <f t="shared" si="16"/>
        <v>0</v>
      </c>
      <c r="Q67" s="381">
        <f t="shared" si="16"/>
        <v>0</v>
      </c>
      <c r="R67" s="381">
        <f t="shared" si="16"/>
        <v>0</v>
      </c>
    </row>
    <row r="68" spans="2:18" x14ac:dyDescent="0.25">
      <c r="B68" s="272" t="str">
        <f>'CB-17'!B68</f>
        <v>faucets</v>
      </c>
      <c r="C68" s="298">
        <f t="shared" si="13"/>
        <v>0</v>
      </c>
      <c r="D68" s="297">
        <f t="shared" ref="D68" si="17">F68*E68</f>
        <v>0</v>
      </c>
      <c r="E68" s="274">
        <f>'CB-17'!E68</f>
        <v>1</v>
      </c>
      <c r="F68" s="298">
        <f>SUM(G68:R68)</f>
        <v>0</v>
      </c>
      <c r="G68" s="294"/>
      <c r="H68" s="294"/>
      <c r="I68" s="294"/>
      <c r="J68" s="294"/>
      <c r="K68" s="294"/>
      <c r="L68" s="294"/>
      <c r="M68" s="294"/>
      <c r="N68" s="294"/>
      <c r="O68" s="294"/>
      <c r="P68" s="294"/>
      <c r="Q68" s="294"/>
      <c r="R68" s="294"/>
    </row>
    <row r="69" spans="2:18" x14ac:dyDescent="0.25">
      <c r="B69" s="272" t="str">
        <f>'CB-17'!B69</f>
        <v>furniture</v>
      </c>
      <c r="C69" s="298">
        <f t="shared" si="13"/>
        <v>0</v>
      </c>
      <c r="D69" s="297">
        <f t="shared" ref="D69:D70" si="18">F69*E69</f>
        <v>0</v>
      </c>
      <c r="E69" s="274">
        <f>'CB-17'!E69</f>
        <v>1</v>
      </c>
      <c r="F69" s="298">
        <f t="shared" ref="F69:F70" si="19">SUM(G69:R69)</f>
        <v>0</v>
      </c>
      <c r="G69" s="294"/>
      <c r="H69" s="294"/>
      <c r="I69" s="294"/>
      <c r="J69" s="294"/>
      <c r="K69" s="294"/>
      <c r="L69" s="294"/>
      <c r="M69" s="294"/>
      <c r="N69" s="294"/>
      <c r="O69" s="294"/>
      <c r="P69" s="294"/>
      <c r="Q69" s="294"/>
      <c r="R69" s="294"/>
    </row>
    <row r="70" spans="2:18" ht="15.75" thickBot="1" x14ac:dyDescent="0.3">
      <c r="B70" s="272" t="str">
        <f>'CB-17'!B70</f>
        <v>lights</v>
      </c>
      <c r="C70" s="298">
        <f t="shared" si="13"/>
        <v>0</v>
      </c>
      <c r="D70" s="297">
        <f t="shared" si="18"/>
        <v>0</v>
      </c>
      <c r="E70" s="274">
        <f>'CB-17'!E70</f>
        <v>1</v>
      </c>
      <c r="F70" s="298">
        <f t="shared" si="19"/>
        <v>0</v>
      </c>
      <c r="G70" s="291">
        <f t="shared" ref="G70:R70" si="20">SUM(G71:G79)</f>
        <v>0</v>
      </c>
      <c r="H70" s="291">
        <f t="shared" si="20"/>
        <v>0</v>
      </c>
      <c r="I70" s="291">
        <f t="shared" si="20"/>
        <v>0</v>
      </c>
      <c r="J70" s="291">
        <f t="shared" si="20"/>
        <v>0</v>
      </c>
      <c r="K70" s="291">
        <f t="shared" si="20"/>
        <v>0</v>
      </c>
      <c r="L70" s="291">
        <f t="shared" si="20"/>
        <v>0</v>
      </c>
      <c r="M70" s="291">
        <f t="shared" si="20"/>
        <v>0</v>
      </c>
      <c r="N70" s="291">
        <f t="shared" si="20"/>
        <v>0</v>
      </c>
      <c r="O70" s="291">
        <f t="shared" si="20"/>
        <v>0</v>
      </c>
      <c r="P70" s="291">
        <f t="shared" si="20"/>
        <v>0</v>
      </c>
      <c r="Q70" s="291">
        <f t="shared" si="20"/>
        <v>0</v>
      </c>
      <c r="R70" s="291">
        <f t="shared" si="20"/>
        <v>0</v>
      </c>
    </row>
    <row r="71" spans="2:18" ht="15.75" thickBot="1" x14ac:dyDescent="0.3">
      <c r="B71" s="288" t="str">
        <f>'CB-17'!B71</f>
        <v>INDIA OFFICE EXPENSES</v>
      </c>
      <c r="C71" s="391">
        <f>SUM(C72:C75)</f>
        <v>0</v>
      </c>
      <c r="D71" s="380" t="s">
        <v>60</v>
      </c>
      <c r="E71" s="380" t="s">
        <v>61</v>
      </c>
      <c r="F71" s="380" t="s">
        <v>62</v>
      </c>
      <c r="G71" s="381">
        <f>SUM(G72:G75)</f>
        <v>0</v>
      </c>
      <c r="H71" s="381">
        <f t="shared" ref="H71:R71" si="21">SUM(H72:H75)</f>
        <v>0</v>
      </c>
      <c r="I71" s="381">
        <f t="shared" si="21"/>
        <v>0</v>
      </c>
      <c r="J71" s="381">
        <f t="shared" si="21"/>
        <v>0</v>
      </c>
      <c r="K71" s="381">
        <f t="shared" si="21"/>
        <v>0</v>
      </c>
      <c r="L71" s="381">
        <f t="shared" si="21"/>
        <v>0</v>
      </c>
      <c r="M71" s="381">
        <f t="shared" si="21"/>
        <v>0</v>
      </c>
      <c r="N71" s="381">
        <f t="shared" si="21"/>
        <v>0</v>
      </c>
      <c r="O71" s="381">
        <f t="shared" si="21"/>
        <v>0</v>
      </c>
      <c r="P71" s="381">
        <f t="shared" si="21"/>
        <v>0</v>
      </c>
      <c r="Q71" s="381">
        <f t="shared" si="21"/>
        <v>0</v>
      </c>
      <c r="R71" s="381">
        <f t="shared" si="21"/>
        <v>0</v>
      </c>
    </row>
    <row r="72" spans="2:18" x14ac:dyDescent="0.25">
      <c r="B72" s="272" t="str">
        <f>'CB-17'!B72</f>
        <v>electricity</v>
      </c>
      <c r="C72" s="460">
        <f>E72*D72</f>
        <v>0</v>
      </c>
      <c r="D72" s="297">
        <f>E72*F72</f>
        <v>0</v>
      </c>
      <c r="E72" s="352">
        <v>1</v>
      </c>
      <c r="F72" s="293">
        <f>SUM(G72:R72)</f>
        <v>0</v>
      </c>
      <c r="G72" s="294"/>
      <c r="H72" s="294"/>
      <c r="I72" s="294"/>
      <c r="J72" s="294"/>
      <c r="K72" s="294"/>
      <c r="L72" s="294"/>
      <c r="M72" s="294"/>
      <c r="N72" s="294"/>
      <c r="O72" s="294"/>
      <c r="P72" s="294"/>
      <c r="Q72" s="294"/>
      <c r="R72" s="294"/>
    </row>
    <row r="73" spans="2:18" x14ac:dyDescent="0.25">
      <c r="B73" s="272" t="str">
        <f>'CB-17'!B73</f>
        <v>taxes</v>
      </c>
      <c r="C73" s="460">
        <f>E73*D73</f>
        <v>0</v>
      </c>
      <c r="D73" s="297">
        <f>E73*F73</f>
        <v>0</v>
      </c>
      <c r="E73" s="352">
        <v>1</v>
      </c>
      <c r="F73" s="293">
        <f>SUM(G73:R73)</f>
        <v>0</v>
      </c>
      <c r="G73" s="294"/>
      <c r="H73" s="294"/>
      <c r="I73" s="294"/>
      <c r="J73" s="294"/>
      <c r="K73" s="294"/>
      <c r="L73" s="294"/>
      <c r="M73" s="294"/>
      <c r="N73" s="294"/>
      <c r="O73" s="294"/>
      <c r="P73" s="294"/>
      <c r="Q73" s="294"/>
      <c r="R73" s="294"/>
    </row>
    <row r="74" spans="2:18" x14ac:dyDescent="0.25">
      <c r="B74" s="272" t="str">
        <f>'CB-17'!B74</f>
        <v>cleaning</v>
      </c>
      <c r="C74" s="460">
        <f>E74*D74</f>
        <v>0</v>
      </c>
      <c r="D74" s="297">
        <f>E74*F74</f>
        <v>0</v>
      </c>
      <c r="E74" s="352">
        <v>1</v>
      </c>
      <c r="F74" s="293">
        <f>SUM(G74:R74)</f>
        <v>0</v>
      </c>
      <c r="G74" s="294"/>
      <c r="H74" s="294"/>
      <c r="I74" s="294"/>
      <c r="J74" s="294"/>
      <c r="K74" s="294"/>
      <c r="L74" s="294"/>
      <c r="M74" s="294"/>
      <c r="N74" s="294"/>
      <c r="O74" s="294"/>
      <c r="P74" s="294"/>
      <c r="Q74" s="294"/>
      <c r="R74" s="294"/>
    </row>
    <row r="75" spans="2:18" ht="15.75" thickBot="1" x14ac:dyDescent="0.3">
      <c r="B75" s="272" t="str">
        <f>'CB-17'!B75</f>
        <v>Staff</v>
      </c>
      <c r="C75" s="460">
        <f>E75*D75</f>
        <v>0</v>
      </c>
      <c r="D75" s="297">
        <f>E75*F75</f>
        <v>0</v>
      </c>
      <c r="E75" s="352">
        <v>1</v>
      </c>
      <c r="F75" s="293">
        <f>SUM(G75:R75)</f>
        <v>0</v>
      </c>
      <c r="G75" s="294"/>
      <c r="H75" s="294"/>
      <c r="I75" s="294"/>
      <c r="J75" s="294"/>
      <c r="K75" s="294"/>
      <c r="L75" s="294"/>
      <c r="M75" s="294"/>
      <c r="N75" s="294"/>
      <c r="O75" s="294"/>
      <c r="P75" s="294"/>
      <c r="Q75" s="294"/>
      <c r="R75" s="294"/>
    </row>
    <row r="76" spans="2:18" ht="15.75" thickBot="1" x14ac:dyDescent="0.3">
      <c r="B76" s="456" t="str">
        <f>'CB-17'!B76</f>
        <v>PAYROLL</v>
      </c>
      <c r="C76" s="481">
        <f>SUM(C77:C80)</f>
        <v>0</v>
      </c>
      <c r="D76" s="400" t="s">
        <v>60</v>
      </c>
      <c r="E76" s="400" t="s">
        <v>61</v>
      </c>
      <c r="F76" s="400" t="s">
        <v>62</v>
      </c>
      <c r="G76" s="381">
        <f>SUM(G77:G80)</f>
        <v>0</v>
      </c>
      <c r="H76" s="381">
        <f t="shared" ref="H76:R76" si="22">SUM(H77:H80)</f>
        <v>0</v>
      </c>
      <c r="I76" s="381">
        <f t="shared" si="22"/>
        <v>0</v>
      </c>
      <c r="J76" s="381">
        <f t="shared" si="22"/>
        <v>0</v>
      </c>
      <c r="K76" s="381">
        <f t="shared" si="22"/>
        <v>0</v>
      </c>
      <c r="L76" s="381">
        <f t="shared" si="22"/>
        <v>0</v>
      </c>
      <c r="M76" s="381">
        <f t="shared" si="22"/>
        <v>0</v>
      </c>
      <c r="N76" s="381">
        <f t="shared" si="22"/>
        <v>0</v>
      </c>
      <c r="O76" s="381">
        <f t="shared" si="22"/>
        <v>0</v>
      </c>
      <c r="P76" s="381">
        <f t="shared" si="22"/>
        <v>0</v>
      </c>
      <c r="Q76" s="381">
        <f t="shared" si="22"/>
        <v>0</v>
      </c>
      <c r="R76" s="381">
        <f t="shared" si="22"/>
        <v>0</v>
      </c>
    </row>
    <row r="77" spans="2:18" x14ac:dyDescent="0.25">
      <c r="B77" s="276"/>
      <c r="C77" s="460">
        <f>E77*D77</f>
        <v>0</v>
      </c>
      <c r="D77" s="297">
        <f>E77*F77</f>
        <v>0</v>
      </c>
      <c r="E77" s="352">
        <v>1</v>
      </c>
      <c r="F77" s="293">
        <f>SUM(G77:R77)</f>
        <v>0</v>
      </c>
      <c r="G77" s="294"/>
      <c r="H77" s="294"/>
      <c r="I77" s="294"/>
      <c r="J77" s="294"/>
      <c r="K77" s="294"/>
      <c r="L77" s="294"/>
      <c r="M77" s="294"/>
      <c r="N77" s="294"/>
      <c r="O77" s="294"/>
      <c r="P77" s="294"/>
      <c r="Q77" s="294"/>
      <c r="R77" s="294"/>
    </row>
    <row r="78" spans="2:18" x14ac:dyDescent="0.25">
      <c r="B78" s="276"/>
      <c r="C78" s="460">
        <f>E78*D78</f>
        <v>0</v>
      </c>
      <c r="D78" s="297">
        <f>E78*F78</f>
        <v>0</v>
      </c>
      <c r="E78" s="352">
        <v>1</v>
      </c>
      <c r="F78" s="293">
        <f>SUM(G78:R78)</f>
        <v>0</v>
      </c>
      <c r="G78" s="294"/>
      <c r="H78" s="294"/>
      <c r="I78" s="294"/>
      <c r="J78" s="294"/>
      <c r="K78" s="294"/>
      <c r="L78" s="294"/>
      <c r="M78" s="294"/>
      <c r="N78" s="294"/>
      <c r="O78" s="294"/>
      <c r="P78" s="294"/>
      <c r="Q78" s="294"/>
      <c r="R78" s="294"/>
    </row>
    <row r="79" spans="2:18" x14ac:dyDescent="0.25">
      <c r="B79" s="276"/>
      <c r="C79" s="460">
        <f>E79*D79</f>
        <v>0</v>
      </c>
      <c r="D79" s="297">
        <f>E79*F79</f>
        <v>0</v>
      </c>
      <c r="E79" s="352">
        <v>1</v>
      </c>
      <c r="F79" s="293">
        <f>SUM(G79:R79)</f>
        <v>0</v>
      </c>
      <c r="G79" s="294"/>
      <c r="H79" s="294"/>
      <c r="I79" s="294"/>
      <c r="J79" s="294"/>
      <c r="K79" s="294"/>
      <c r="L79" s="294"/>
      <c r="M79" s="294"/>
      <c r="N79" s="294"/>
      <c r="O79" s="294"/>
      <c r="P79" s="294"/>
      <c r="Q79" s="294"/>
      <c r="R79" s="294"/>
    </row>
  </sheetData>
  <mergeCells count="3">
    <mergeCell ref="D1:F1"/>
    <mergeCell ref="S1:S1048576"/>
    <mergeCell ref="G1:R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37C6F-633F-4AD5-BB8C-2132480B512A}">
  <sheetPr>
    <tabColor rgb="FFC00000"/>
  </sheetPr>
  <dimension ref="A1:V79"/>
  <sheetViews>
    <sheetView workbookViewId="0">
      <pane xSplit="18" ySplit="5" topLeftCell="U6" activePane="bottomRight" state="frozen"/>
      <selection pane="topRight"/>
      <selection pane="bottomLeft"/>
      <selection pane="bottomRight" activeCell="G20" sqref="G20:R20"/>
    </sheetView>
  </sheetViews>
  <sheetFormatPr defaultRowHeight="15" x14ac:dyDescent="0.25"/>
  <cols>
    <col min="1" max="1" width="9.7109375" hidden="1" customWidth="1"/>
    <col min="2" max="2" width="24.85546875" customWidth="1"/>
    <col min="3" max="3" width="10.85546875" style="358" bestFit="1" customWidth="1"/>
    <col min="4" max="4" width="9.140625" style="1" bestFit="1" customWidth="1"/>
    <col min="5" max="5" width="7" style="1" bestFit="1" customWidth="1"/>
    <col min="6" max="6" width="12.5703125" style="42" customWidth="1"/>
    <col min="7" max="8" width="10.85546875" bestFit="1" customWidth="1"/>
    <col min="9" max="18" width="11.42578125" bestFit="1" customWidth="1"/>
  </cols>
  <sheetData>
    <row r="1" spans="1:22" x14ac:dyDescent="0.25">
      <c r="A1" s="262">
        <f>Summary!I5</f>
        <v>2021</v>
      </c>
      <c r="B1" s="318">
        <f>Summary!I5</f>
        <v>2021</v>
      </c>
      <c r="C1" s="366"/>
      <c r="D1" s="245"/>
      <c r="E1" s="245"/>
      <c r="F1" s="245"/>
      <c r="G1" s="556" t="str">
        <f>"CLOUDBAUD CONSULTING "&amp; Summary!I5 &amp; " ONLY"</f>
        <v>CLOUDBAUD CONSULTING 2021 ONLY</v>
      </c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</row>
    <row r="2" spans="1:22" x14ac:dyDescent="0.25">
      <c r="A2" s="3" t="str">
        <f>'CB-20'!A2</f>
        <v>Sources</v>
      </c>
      <c r="B2" s="76"/>
      <c r="C2" s="368"/>
      <c r="D2" s="3"/>
      <c r="E2" s="300"/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115</v>
      </c>
      <c r="N2" s="3" t="s">
        <v>49</v>
      </c>
      <c r="O2" s="3" t="s">
        <v>50</v>
      </c>
      <c r="P2" s="3" t="s">
        <v>51</v>
      </c>
      <c r="Q2" s="3" t="s">
        <v>52</v>
      </c>
      <c r="R2" s="15" t="s">
        <v>53</v>
      </c>
    </row>
    <row r="3" spans="1:22" x14ac:dyDescent="0.25">
      <c r="A3" t="str">
        <f>'CB-20'!A3</f>
        <v>Various</v>
      </c>
      <c r="B3" s="532" t="str">
        <f>'CB-17'!B3</f>
        <v>CONSULTING REVENUE</v>
      </c>
      <c r="C3" s="434">
        <f>F3</f>
        <v>74480</v>
      </c>
      <c r="D3" s="435"/>
      <c r="E3" s="435"/>
      <c r="F3" s="436">
        <f>SUM(G3:R3)</f>
        <v>74480</v>
      </c>
      <c r="G3" s="437">
        <v>0</v>
      </c>
      <c r="H3" s="437">
        <v>0</v>
      </c>
      <c r="I3" s="437">
        <v>17600</v>
      </c>
      <c r="J3" s="437">
        <v>18000</v>
      </c>
      <c r="K3" s="437">
        <v>19200</v>
      </c>
      <c r="L3" s="437">
        <v>0</v>
      </c>
      <c r="M3" s="437">
        <v>0</v>
      </c>
      <c r="N3" s="437">
        <v>0</v>
      </c>
      <c r="O3" s="437">
        <v>0</v>
      </c>
      <c r="P3" s="437">
        <v>0</v>
      </c>
      <c r="Q3" s="437">
        <v>1320</v>
      </c>
      <c r="R3" s="437">
        <v>18360</v>
      </c>
    </row>
    <row r="4" spans="1:22" x14ac:dyDescent="0.25">
      <c r="B4" s="460"/>
      <c r="C4" s="296"/>
      <c r="D4" s="405"/>
      <c r="E4" s="405"/>
      <c r="F4" s="525" t="s">
        <v>58</v>
      </c>
      <c r="G4" s="297">
        <f>G3</f>
        <v>0</v>
      </c>
      <c r="H4" s="297">
        <f>G4+H3</f>
        <v>0</v>
      </c>
      <c r="I4" s="297">
        <f t="shared" ref="I4:R4" si="0">H4+I3</f>
        <v>17600</v>
      </c>
      <c r="J4" s="297">
        <f t="shared" si="0"/>
        <v>35600</v>
      </c>
      <c r="K4" s="297">
        <f t="shared" si="0"/>
        <v>54800</v>
      </c>
      <c r="L4" s="297">
        <f t="shared" si="0"/>
        <v>54800</v>
      </c>
      <c r="M4" s="297">
        <f t="shared" si="0"/>
        <v>54800</v>
      </c>
      <c r="N4" s="297">
        <f t="shared" si="0"/>
        <v>54800</v>
      </c>
      <c r="O4" s="297">
        <f t="shared" si="0"/>
        <v>54800</v>
      </c>
      <c r="P4" s="297">
        <f t="shared" si="0"/>
        <v>54800</v>
      </c>
      <c r="Q4" s="297">
        <f t="shared" si="0"/>
        <v>56120</v>
      </c>
      <c r="R4" s="297">
        <f t="shared" si="0"/>
        <v>74480</v>
      </c>
      <c r="V4" s="215"/>
    </row>
    <row r="5" spans="1:22" x14ac:dyDescent="0.25">
      <c r="B5" s="533" t="str">
        <f>'CB-17'!B5</f>
        <v>TOTAL EXPENSES</v>
      </c>
      <c r="C5" s="526">
        <f>C7+C20+C27+C76+C35+C59+C45+C62+C67+C71</f>
        <v>7194.9949666666662</v>
      </c>
      <c r="D5" s="440"/>
      <c r="E5" s="534"/>
      <c r="F5" s="275"/>
      <c r="G5" s="535"/>
      <c r="H5" s="535"/>
      <c r="I5" s="535"/>
      <c r="J5" s="535"/>
      <c r="K5" s="535"/>
      <c r="L5" s="535"/>
      <c r="M5" s="535"/>
      <c r="N5" s="535"/>
      <c r="O5" s="535"/>
      <c r="P5" s="535"/>
      <c r="Q5" s="535"/>
      <c r="R5" s="535"/>
    </row>
    <row r="6" spans="1:22" x14ac:dyDescent="0.25">
      <c r="B6" s="532" t="str">
        <f>'CB-17'!B6</f>
        <v>NET REVENUE</v>
      </c>
      <c r="C6" s="357">
        <f>C3-C5</f>
        <v>67285.005033333335</v>
      </c>
      <c r="D6" s="440"/>
      <c r="E6" s="534"/>
      <c r="F6" s="275"/>
      <c r="G6" s="535"/>
      <c r="H6" s="535"/>
      <c r="I6" s="535"/>
      <c r="J6" s="535"/>
      <c r="K6" s="535"/>
      <c r="L6" s="535"/>
      <c r="M6" s="535"/>
      <c r="N6" s="535"/>
      <c r="O6" s="535"/>
      <c r="P6" s="535"/>
      <c r="Q6" s="535"/>
      <c r="R6" s="535"/>
    </row>
    <row r="7" spans="1:22" x14ac:dyDescent="0.25">
      <c r="B7" s="288" t="str">
        <f>'CB-17'!B7</f>
        <v>UTILITIES</v>
      </c>
      <c r="C7" s="453">
        <f>SUM(C8:C21)</f>
        <v>3142.1282999999999</v>
      </c>
      <c r="D7" s="290" t="s">
        <v>60</v>
      </c>
      <c r="E7" s="290" t="s">
        <v>61</v>
      </c>
      <c r="F7" s="290" t="s">
        <v>62</v>
      </c>
      <c r="G7" s="291">
        <f>SUM(G8:G19)</f>
        <v>816.92</v>
      </c>
      <c r="H7" s="291">
        <f t="shared" ref="H7:R7" si="1">SUM(H8:H19)</f>
        <v>913.95</v>
      </c>
      <c r="I7" s="291">
        <f t="shared" si="1"/>
        <v>841.71</v>
      </c>
      <c r="J7" s="291">
        <f t="shared" si="1"/>
        <v>993.06999999999994</v>
      </c>
      <c r="K7" s="291">
        <f t="shared" si="1"/>
        <v>400.57000000000005</v>
      </c>
      <c r="L7" s="291">
        <f t="shared" si="1"/>
        <v>891.77</v>
      </c>
      <c r="M7" s="291">
        <f t="shared" si="1"/>
        <v>1208.51</v>
      </c>
      <c r="N7" s="291">
        <f t="shared" si="1"/>
        <v>1203.1799999999998</v>
      </c>
      <c r="O7" s="291">
        <f t="shared" si="1"/>
        <v>519.70000000000005</v>
      </c>
      <c r="P7" s="291">
        <f t="shared" si="1"/>
        <v>1396.29</v>
      </c>
      <c r="Q7" s="291">
        <f t="shared" si="1"/>
        <v>850.98</v>
      </c>
      <c r="R7" s="291">
        <f t="shared" si="1"/>
        <v>1145.5499999999997</v>
      </c>
    </row>
    <row r="8" spans="1:22" x14ac:dyDescent="0.25">
      <c r="B8" s="272" t="str">
        <f>'CB-17'!B8</f>
        <v>Electricity</v>
      </c>
      <c r="C8" s="357">
        <f>D8</f>
        <v>650.80759999999998</v>
      </c>
      <c r="D8" s="273">
        <f t="shared" ref="D8:D34" si="2">E8*F8</f>
        <v>650.80759999999998</v>
      </c>
      <c r="E8" s="274">
        <f>'CB-17'!E8</f>
        <v>0.17</v>
      </c>
      <c r="F8" s="275">
        <f t="shared" ref="F8:F61" si="3">SUM(G8:R8)</f>
        <v>3828.2799999999997</v>
      </c>
      <c r="G8" s="278">
        <v>525.54999999999995</v>
      </c>
      <c r="H8" s="278">
        <v>310.79000000000002</v>
      </c>
      <c r="I8" s="278">
        <v>631.72</v>
      </c>
      <c r="J8" s="278">
        <v>254.37</v>
      </c>
      <c r="K8" s="278">
        <v>190.58</v>
      </c>
      <c r="L8" s="278">
        <v>169.63</v>
      </c>
      <c r="M8" s="278">
        <v>142.85</v>
      </c>
      <c r="N8" s="278">
        <v>308.33999999999997</v>
      </c>
      <c r="O8" s="278">
        <v>146.34</v>
      </c>
      <c r="P8" s="278">
        <v>142.13999999999999</v>
      </c>
      <c r="Q8" s="278">
        <v>375.45</v>
      </c>
      <c r="R8" s="278">
        <v>630.52</v>
      </c>
    </row>
    <row r="9" spans="1:22" x14ac:dyDescent="0.25">
      <c r="B9" s="272" t="str">
        <f>'CB-17'!B9</f>
        <v>Waste &amp; Recycle</v>
      </c>
      <c r="C9" s="357">
        <f t="shared" ref="C9:C19" si="4">D9</f>
        <v>55.481200000000008</v>
      </c>
      <c r="D9" s="273">
        <f t="shared" si="2"/>
        <v>55.481200000000008</v>
      </c>
      <c r="E9" s="274">
        <f>'CB-17'!E9</f>
        <v>0.17</v>
      </c>
      <c r="F9" s="275">
        <f t="shared" si="3"/>
        <v>326.36</v>
      </c>
      <c r="G9" s="278">
        <v>81.38</v>
      </c>
      <c r="H9" s="278"/>
      <c r="I9" s="278"/>
      <c r="J9" s="278">
        <v>81.66</v>
      </c>
      <c r="K9" s="278"/>
      <c r="L9" s="278"/>
      <c r="M9" s="278">
        <v>81.66</v>
      </c>
      <c r="N9" s="278"/>
      <c r="O9" s="278"/>
      <c r="P9" s="278"/>
      <c r="Q9" s="278"/>
      <c r="R9" s="278">
        <v>81.66</v>
      </c>
    </row>
    <row r="10" spans="1:22" x14ac:dyDescent="0.25">
      <c r="B10" s="272" t="str">
        <f>'CB-17'!B10</f>
        <v>Water &amp; Sewer</v>
      </c>
      <c r="C10" s="357">
        <f t="shared" si="4"/>
        <v>434.11540000000002</v>
      </c>
      <c r="D10" s="273">
        <f t="shared" si="2"/>
        <v>434.11540000000002</v>
      </c>
      <c r="E10" s="274">
        <f>'CB-17'!E10</f>
        <v>0.17</v>
      </c>
      <c r="F10" s="275">
        <f t="shared" si="3"/>
        <v>2553.62</v>
      </c>
      <c r="G10" s="278"/>
      <c r="H10" s="278">
        <v>393.17</v>
      </c>
      <c r="I10" s="278"/>
      <c r="J10" s="278">
        <v>447.05</v>
      </c>
      <c r="K10" s="278"/>
      <c r="L10" s="278">
        <v>421.14</v>
      </c>
      <c r="M10" s="278"/>
      <c r="N10" s="278">
        <v>436.48</v>
      </c>
      <c r="O10" s="278"/>
      <c r="P10" s="278">
        <v>855.78</v>
      </c>
      <c r="Q10" s="278"/>
      <c r="R10" s="278"/>
    </row>
    <row r="11" spans="1:22" x14ac:dyDescent="0.25">
      <c r="B11" s="272" t="str">
        <f>'CB-17'!B11</f>
        <v>Security</v>
      </c>
      <c r="C11" s="357">
        <f t="shared" si="4"/>
        <v>130.42910000000001</v>
      </c>
      <c r="D11" s="273">
        <f t="shared" si="2"/>
        <v>130.42910000000001</v>
      </c>
      <c r="E11" s="274">
        <f>'CB-17'!E11</f>
        <v>0.17</v>
      </c>
      <c r="F11" s="275">
        <f t="shared" si="3"/>
        <v>767.2299999999999</v>
      </c>
      <c r="G11" s="278"/>
      <c r="H11" s="278"/>
      <c r="I11" s="278"/>
      <c r="J11" s="278"/>
      <c r="K11" s="278"/>
      <c r="L11" s="278"/>
      <c r="M11" s="279">
        <f>464.52+60.55</f>
        <v>525.06999999999994</v>
      </c>
      <c r="N11" s="278"/>
      <c r="O11" s="278"/>
      <c r="P11" s="278"/>
      <c r="Q11" s="279">
        <v>242.16</v>
      </c>
      <c r="R11" s="278"/>
    </row>
    <row r="12" spans="1:22" x14ac:dyDescent="0.25">
      <c r="B12" s="272" t="str">
        <f>'CB-17'!B12</f>
        <v>Landscaping</v>
      </c>
      <c r="C12" s="357">
        <f t="shared" si="4"/>
        <v>285.60000000000002</v>
      </c>
      <c r="D12" s="273">
        <f t="shared" si="2"/>
        <v>285.60000000000002</v>
      </c>
      <c r="E12" s="274">
        <f>'CB-17'!E12</f>
        <v>0.17</v>
      </c>
      <c r="F12" s="275">
        <f t="shared" si="3"/>
        <v>1680</v>
      </c>
      <c r="G12" s="278">
        <v>140</v>
      </c>
      <c r="H12" s="278">
        <v>140</v>
      </c>
      <c r="I12" s="278">
        <v>140</v>
      </c>
      <c r="J12" s="278">
        <v>140</v>
      </c>
      <c r="K12" s="278">
        <v>140</v>
      </c>
      <c r="L12" s="278">
        <v>140</v>
      </c>
      <c r="M12" s="278">
        <v>140</v>
      </c>
      <c r="N12" s="278">
        <v>140</v>
      </c>
      <c r="O12" s="278">
        <v>140</v>
      </c>
      <c r="P12" s="278">
        <v>140</v>
      </c>
      <c r="Q12" s="278">
        <v>140</v>
      </c>
      <c r="R12" s="278">
        <v>140</v>
      </c>
    </row>
    <row r="13" spans="1:22" x14ac:dyDescent="0.25">
      <c r="B13" s="272" t="str">
        <f>'CB-17'!B13</f>
        <v>Home Owners Insurance</v>
      </c>
      <c r="C13" s="357">
        <f t="shared" si="4"/>
        <v>283.39000000000004</v>
      </c>
      <c r="D13" s="273">
        <f t="shared" si="2"/>
        <v>283.39000000000004</v>
      </c>
      <c r="E13" s="274">
        <f>'CB-17'!E13</f>
        <v>0.17</v>
      </c>
      <c r="F13" s="275">
        <f>'Home Insurance'!H13</f>
        <v>1667</v>
      </c>
      <c r="G13" s="278"/>
      <c r="H13" s="278"/>
      <c r="I13" s="278"/>
      <c r="J13" s="278"/>
      <c r="K13" s="278"/>
      <c r="L13" s="278"/>
      <c r="M13" s="278"/>
      <c r="N13" s="278"/>
      <c r="O13" s="278"/>
      <c r="P13" s="278"/>
      <c r="Q13" s="278"/>
      <c r="R13" s="278"/>
    </row>
    <row r="14" spans="1:22" x14ac:dyDescent="0.25">
      <c r="B14" s="272" t="str">
        <f>'CB-17'!B14</f>
        <v>Appliance Maintenance</v>
      </c>
      <c r="C14" s="357">
        <f t="shared" si="4"/>
        <v>279.95999999999998</v>
      </c>
      <c r="D14" s="273">
        <f t="shared" si="2"/>
        <v>279.95999999999998</v>
      </c>
      <c r="E14" s="274">
        <f>'CB-17'!E14</f>
        <v>0.5</v>
      </c>
      <c r="F14" s="275">
        <f t="shared" si="3"/>
        <v>559.91999999999996</v>
      </c>
      <c r="G14" s="278">
        <v>69.989999999999995</v>
      </c>
      <c r="H14" s="278">
        <v>69.989999999999995</v>
      </c>
      <c r="I14" s="278">
        <v>69.989999999999995</v>
      </c>
      <c r="J14" s="278">
        <v>69.989999999999995</v>
      </c>
      <c r="K14" s="278">
        <v>69.989999999999995</v>
      </c>
      <c r="L14" s="278">
        <v>0</v>
      </c>
      <c r="M14" s="278">
        <v>69.989999999999995</v>
      </c>
      <c r="N14" s="278">
        <v>69.989999999999995</v>
      </c>
      <c r="O14" s="278">
        <v>69.989999999999995</v>
      </c>
      <c r="P14" s="278">
        <v>0</v>
      </c>
      <c r="Q14" s="278">
        <v>0</v>
      </c>
      <c r="R14" s="278">
        <v>0</v>
      </c>
    </row>
    <row r="15" spans="1:22" x14ac:dyDescent="0.25">
      <c r="B15" s="272" t="str">
        <f>'CB-17'!B15</f>
        <v>Apple Warranty</v>
      </c>
      <c r="C15" s="357">
        <f t="shared" si="4"/>
        <v>0</v>
      </c>
      <c r="D15" s="273">
        <f t="shared" si="2"/>
        <v>0</v>
      </c>
      <c r="E15" s="274">
        <f>'CB-17'!E15</f>
        <v>0.5</v>
      </c>
      <c r="F15" s="275">
        <f t="shared" si="3"/>
        <v>0</v>
      </c>
      <c r="G15" s="278"/>
      <c r="H15" s="278"/>
      <c r="I15" s="278"/>
      <c r="J15" s="278"/>
      <c r="K15" s="278"/>
      <c r="L15" s="278"/>
      <c r="M15" s="278"/>
      <c r="N15" s="278"/>
      <c r="O15" s="278"/>
      <c r="P15" s="278"/>
      <c r="Q15" s="278"/>
      <c r="R15" s="278"/>
    </row>
    <row r="16" spans="1:22" x14ac:dyDescent="0.25">
      <c r="B16" s="272" t="str">
        <f>'CB-17'!B16</f>
        <v>Computers Warranty</v>
      </c>
      <c r="C16" s="357">
        <f t="shared" si="4"/>
        <v>0</v>
      </c>
      <c r="D16" s="273">
        <f t="shared" si="2"/>
        <v>0</v>
      </c>
      <c r="E16" s="274">
        <f>'CB-17'!E16</f>
        <v>0.5</v>
      </c>
      <c r="F16" s="275">
        <f t="shared" si="3"/>
        <v>0</v>
      </c>
      <c r="G16" s="278"/>
      <c r="H16" s="278"/>
      <c r="I16" s="278"/>
      <c r="J16" s="278"/>
      <c r="K16" s="278"/>
      <c r="L16" s="278"/>
      <c r="M16" s="278"/>
      <c r="N16" s="278"/>
      <c r="O16" s="278"/>
      <c r="P16" s="278"/>
      <c r="Q16" s="278"/>
      <c r="R16" s="278"/>
    </row>
    <row r="17" spans="2:18" x14ac:dyDescent="0.25">
      <c r="B17" s="272" t="str">
        <f>'CB-17'!B17</f>
        <v>Cellular Service</v>
      </c>
      <c r="C17" s="357">
        <f t="shared" si="4"/>
        <v>393</v>
      </c>
      <c r="D17" s="273">
        <f t="shared" si="2"/>
        <v>393</v>
      </c>
      <c r="E17" s="274">
        <f>'CB-17'!E17</f>
        <v>0.5</v>
      </c>
      <c r="F17" s="275">
        <f>SUM(G17:R17)</f>
        <v>786</v>
      </c>
      <c r="G17" s="278"/>
      <c r="H17" s="278"/>
      <c r="I17" s="278"/>
      <c r="J17" s="278"/>
      <c r="K17" s="278"/>
      <c r="L17" s="278">
        <v>161</v>
      </c>
      <c r="M17" s="278">
        <v>145</v>
      </c>
      <c r="N17" s="278">
        <v>145</v>
      </c>
      <c r="O17" s="278"/>
      <c r="P17" s="278">
        <v>145</v>
      </c>
      <c r="Q17" s="278"/>
      <c r="R17" s="278">
        <v>190</v>
      </c>
    </row>
    <row r="18" spans="2:18" x14ac:dyDescent="0.25">
      <c r="B18" s="272" t="str">
        <f>'CB-17'!B18</f>
        <v>Broadband</v>
      </c>
      <c r="C18" s="357">
        <f t="shared" si="4"/>
        <v>340.39500000000004</v>
      </c>
      <c r="D18" s="273">
        <f t="shared" si="2"/>
        <v>340.39500000000004</v>
      </c>
      <c r="E18" s="274">
        <f>'CB-17'!E18</f>
        <v>0.5</v>
      </c>
      <c r="F18" s="275">
        <f t="shared" si="3"/>
        <v>680.79000000000008</v>
      </c>
      <c r="G18" s="278"/>
      <c r="H18" s="278"/>
      <c r="I18" s="278"/>
      <c r="J18" s="278"/>
      <c r="K18" s="278"/>
      <c r="L18" s="278"/>
      <c r="M18" s="278">
        <v>103.94</v>
      </c>
      <c r="N18" s="278">
        <v>103.37</v>
      </c>
      <c r="O18" s="278">
        <v>163.37</v>
      </c>
      <c r="P18" s="278">
        <v>113.37</v>
      </c>
      <c r="Q18" s="278">
        <v>93.37</v>
      </c>
      <c r="R18" s="278">
        <v>103.37</v>
      </c>
    </row>
    <row r="19" spans="2:18" ht="15.75" thickBot="1" x14ac:dyDescent="0.3">
      <c r="B19" s="272" t="str">
        <f>'CB-17'!B19</f>
        <v>TV Cable</v>
      </c>
      <c r="C19" s="357">
        <f t="shared" si="4"/>
        <v>0</v>
      </c>
      <c r="D19" s="273">
        <f t="shared" si="2"/>
        <v>0</v>
      </c>
      <c r="E19" s="274">
        <f>'CB-17'!E19</f>
        <v>0.5</v>
      </c>
      <c r="F19" s="275">
        <f t="shared" si="3"/>
        <v>0</v>
      </c>
      <c r="G19" s="278"/>
      <c r="H19" s="278"/>
      <c r="I19" s="278"/>
      <c r="J19" s="278"/>
      <c r="K19" s="278"/>
      <c r="L19" s="278"/>
      <c r="M19" s="278"/>
      <c r="N19" s="278"/>
      <c r="O19" s="278"/>
      <c r="P19" s="278"/>
      <c r="Q19" s="278"/>
      <c r="R19" s="278"/>
    </row>
    <row r="20" spans="2:18" ht="15.75" thickBot="1" x14ac:dyDescent="0.3">
      <c r="B20" s="288" t="str">
        <f>'CB-17'!B20</f>
        <v>DEPRECIABLE ASSETS</v>
      </c>
      <c r="C20" s="453">
        <f>SUM(C21:C26)</f>
        <v>288.95</v>
      </c>
      <c r="D20" s="290"/>
      <c r="E20" s="290"/>
      <c r="F20" s="290"/>
      <c r="G20" s="381">
        <f>SUM(G21:G26)</f>
        <v>19.8</v>
      </c>
      <c r="H20" s="381">
        <f t="shared" ref="H20:R20" si="5">SUM(H21:H26)</f>
        <v>0</v>
      </c>
      <c r="I20" s="381">
        <f t="shared" si="5"/>
        <v>27.12</v>
      </c>
      <c r="J20" s="381">
        <f t="shared" si="5"/>
        <v>72.3</v>
      </c>
      <c r="K20" s="381">
        <f t="shared" si="5"/>
        <v>0</v>
      </c>
      <c r="L20" s="381">
        <f t="shared" si="5"/>
        <v>0</v>
      </c>
      <c r="M20" s="381">
        <f t="shared" si="5"/>
        <v>38.479999999999997</v>
      </c>
      <c r="N20" s="381">
        <f t="shared" si="5"/>
        <v>0</v>
      </c>
      <c r="O20" s="381">
        <f t="shared" si="5"/>
        <v>0.78</v>
      </c>
      <c r="P20" s="381">
        <f t="shared" si="5"/>
        <v>12.81</v>
      </c>
      <c r="Q20" s="381">
        <f t="shared" si="5"/>
        <v>189</v>
      </c>
      <c r="R20" s="381">
        <f t="shared" si="5"/>
        <v>23.16</v>
      </c>
    </row>
    <row r="21" spans="2:18" x14ac:dyDescent="0.25">
      <c r="B21" s="272" t="str">
        <f>'CB-17'!B21</f>
        <v>ASUS Laptop</v>
      </c>
      <c r="C21" s="357">
        <f>D21</f>
        <v>0</v>
      </c>
      <c r="D21" s="273">
        <f t="shared" si="2"/>
        <v>0</v>
      </c>
      <c r="E21" s="274">
        <f>'CB-17'!E21</f>
        <v>0.5</v>
      </c>
      <c r="F21" s="275">
        <f>SUM(G21:R21)</f>
        <v>0</v>
      </c>
      <c r="G21" s="278"/>
      <c r="H21" s="278"/>
      <c r="I21" s="278"/>
      <c r="J21" s="278"/>
      <c r="K21" s="278"/>
      <c r="L21" s="278"/>
      <c r="M21" s="278"/>
      <c r="N21" s="278"/>
      <c r="O21" s="278"/>
      <c r="P21" s="278"/>
      <c r="Q21" s="278"/>
      <c r="R21" s="278"/>
    </row>
    <row r="22" spans="2:18" x14ac:dyDescent="0.25">
      <c r="B22" s="272" t="str">
        <f>'CB-17'!B22</f>
        <v>Mobile Device (samsung)</v>
      </c>
      <c r="C22" s="357">
        <f t="shared" ref="C22:C26" si="6">D22</f>
        <v>94.5</v>
      </c>
      <c r="D22" s="273">
        <f t="shared" si="2"/>
        <v>94.5</v>
      </c>
      <c r="E22" s="274">
        <f>'CB-17'!E22</f>
        <v>0.5</v>
      </c>
      <c r="F22" s="275">
        <f>SUM(G22:R22)</f>
        <v>189</v>
      </c>
      <c r="G22" s="278"/>
      <c r="H22" s="278"/>
      <c r="I22" s="278"/>
      <c r="J22" s="278"/>
      <c r="K22" s="278"/>
      <c r="L22" s="278"/>
      <c r="M22" s="278"/>
      <c r="N22" s="278"/>
      <c r="O22" s="278"/>
      <c r="P22" s="278"/>
      <c r="Q22" s="278">
        <f>148.6+40.4</f>
        <v>189</v>
      </c>
      <c r="R22" s="278"/>
    </row>
    <row r="23" spans="2:18" x14ac:dyDescent="0.25">
      <c r="B23" s="272" t="str">
        <f>'CB-17'!B23</f>
        <v>Cellphone Device</v>
      </c>
      <c r="C23" s="357">
        <f t="shared" si="6"/>
        <v>0</v>
      </c>
      <c r="D23" s="273">
        <f t="shared" si="2"/>
        <v>0</v>
      </c>
      <c r="E23" s="274">
        <f>'CB-17'!E23</f>
        <v>0.5</v>
      </c>
      <c r="F23" s="275"/>
      <c r="G23" s="278"/>
      <c r="H23" s="278"/>
      <c r="I23" s="278"/>
      <c r="J23" s="278"/>
      <c r="K23" s="278"/>
      <c r="L23" s="278"/>
      <c r="M23" s="278"/>
      <c r="N23" s="278"/>
      <c r="O23" s="278"/>
      <c r="P23" s="278"/>
      <c r="Q23" s="278"/>
      <c r="R23" s="278"/>
    </row>
    <row r="24" spans="2:18" x14ac:dyDescent="0.25">
      <c r="B24" s="272" t="str">
        <f>'CB-17'!B24</f>
        <v>Supplies</v>
      </c>
      <c r="C24" s="357">
        <f t="shared" si="6"/>
        <v>100.63999999999999</v>
      </c>
      <c r="D24" s="273">
        <f t="shared" si="2"/>
        <v>100.63999999999999</v>
      </c>
      <c r="E24" s="274">
        <f>'CB-17'!E24</f>
        <v>1</v>
      </c>
      <c r="F24" s="275">
        <f>SUM(G24:R24)</f>
        <v>100.63999999999999</v>
      </c>
      <c r="G24" s="278"/>
      <c r="H24" s="278"/>
      <c r="I24" s="278">
        <v>27.12</v>
      </c>
      <c r="J24" s="278"/>
      <c r="K24" s="278"/>
      <c r="L24" s="278"/>
      <c r="M24" s="278">
        <v>38.479999999999997</v>
      </c>
      <c r="N24" s="278"/>
      <c r="O24" s="278"/>
      <c r="P24" s="278">
        <v>11.88</v>
      </c>
      <c r="Q24" s="278"/>
      <c r="R24" s="278">
        <v>23.16</v>
      </c>
    </row>
    <row r="25" spans="2:18" x14ac:dyDescent="0.25">
      <c r="B25" s="272" t="str">
        <f>'CB-17'!B25</f>
        <v>Stationaries</v>
      </c>
      <c r="C25" s="357">
        <f t="shared" si="6"/>
        <v>21.51</v>
      </c>
      <c r="D25" s="273">
        <f t="shared" si="2"/>
        <v>21.51</v>
      </c>
      <c r="E25" s="274">
        <f>'CB-17'!E25</f>
        <v>1</v>
      </c>
      <c r="F25" s="275">
        <f>SUM(G25:R25)</f>
        <v>21.51</v>
      </c>
      <c r="G25" s="278">
        <v>19.8</v>
      </c>
      <c r="H25" s="278"/>
      <c r="I25" s="278"/>
      <c r="J25" s="278"/>
      <c r="K25" s="278"/>
      <c r="L25" s="278"/>
      <c r="M25" s="278"/>
      <c r="N25" s="278"/>
      <c r="O25" s="278">
        <v>0.78</v>
      </c>
      <c r="P25" s="278">
        <v>0.93</v>
      </c>
      <c r="Q25" s="278"/>
      <c r="R25" s="278"/>
    </row>
    <row r="26" spans="2:18" x14ac:dyDescent="0.25">
      <c r="B26" s="272" t="str">
        <f>'CB-17'!B26</f>
        <v>Books</v>
      </c>
      <c r="C26" s="357">
        <f t="shared" si="6"/>
        <v>72.3</v>
      </c>
      <c r="D26" s="273">
        <f t="shared" si="2"/>
        <v>72.3</v>
      </c>
      <c r="E26" s="274">
        <f>'CB-17'!E26</f>
        <v>1</v>
      </c>
      <c r="F26" s="275">
        <f>SUM(G26:R26)</f>
        <v>72.3</v>
      </c>
      <c r="G26" s="278"/>
      <c r="H26" s="278"/>
      <c r="I26" s="278"/>
      <c r="J26" s="278">
        <v>72.3</v>
      </c>
      <c r="K26" s="278"/>
      <c r="L26" s="278"/>
      <c r="M26" s="278"/>
      <c r="N26" s="278"/>
      <c r="O26" s="278"/>
      <c r="P26" s="278"/>
      <c r="Q26" s="278"/>
      <c r="R26" s="278"/>
    </row>
    <row r="27" spans="2:18" x14ac:dyDescent="0.25">
      <c r="B27" s="288" t="str">
        <f>'CB-17'!B27</f>
        <v>GOVERNMENT FEES</v>
      </c>
      <c r="C27" s="453">
        <f>SUM(C28:C34)</f>
        <v>242.13</v>
      </c>
      <c r="D27" s="290" t="s">
        <v>60</v>
      </c>
      <c r="E27" s="290" t="s">
        <v>61</v>
      </c>
      <c r="F27" s="290" t="s">
        <v>62</v>
      </c>
      <c r="G27" s="290"/>
      <c r="H27" s="290"/>
      <c r="I27" s="290"/>
      <c r="J27" s="290"/>
      <c r="K27" s="290"/>
      <c r="L27" s="290"/>
      <c r="M27" s="290"/>
      <c r="N27" s="290"/>
      <c r="O27" s="290"/>
      <c r="P27" s="290"/>
      <c r="Q27" s="290"/>
      <c r="R27" s="278"/>
    </row>
    <row r="28" spans="2:18" x14ac:dyDescent="0.25">
      <c r="B28" s="272" t="str">
        <f>'CB-17'!B28</f>
        <v>Biz Registration</v>
      </c>
      <c r="C28" s="357">
        <f>D28</f>
        <v>0</v>
      </c>
      <c r="D28" s="273">
        <f t="shared" si="2"/>
        <v>0</v>
      </c>
      <c r="E28" s="274">
        <f>'CB-17'!E28</f>
        <v>1</v>
      </c>
      <c r="F28" s="275">
        <f t="shared" si="3"/>
        <v>0</v>
      </c>
      <c r="G28" s="278"/>
      <c r="H28" s="278"/>
      <c r="I28" s="278"/>
      <c r="J28" s="278"/>
      <c r="K28" s="278"/>
      <c r="L28" s="278"/>
      <c r="M28" s="278"/>
      <c r="N28" s="278"/>
      <c r="O28" s="278"/>
      <c r="P28" s="278"/>
      <c r="Q28" s="278"/>
      <c r="R28" s="278"/>
    </row>
    <row r="29" spans="2:18" x14ac:dyDescent="0.25">
      <c r="B29" s="272" t="str">
        <f>'CB-18'!B29</f>
        <v>Licensing</v>
      </c>
      <c r="C29" s="357">
        <f t="shared" ref="C29:C44" si="7">D29</f>
        <v>0</v>
      </c>
      <c r="D29" s="273">
        <f t="shared" si="2"/>
        <v>0</v>
      </c>
      <c r="E29" s="274">
        <f>'CB-17'!E29</f>
        <v>1</v>
      </c>
      <c r="F29" s="275">
        <f t="shared" si="3"/>
        <v>0</v>
      </c>
      <c r="G29" s="278"/>
      <c r="H29" s="278"/>
      <c r="I29" s="278"/>
      <c r="J29" s="278"/>
      <c r="K29" s="278"/>
      <c r="L29" s="278"/>
      <c r="M29" s="278"/>
      <c r="N29" s="278"/>
      <c r="O29" s="278"/>
      <c r="P29" s="278"/>
      <c r="Q29" s="278"/>
      <c r="R29" s="278"/>
    </row>
    <row r="30" spans="2:18" x14ac:dyDescent="0.25">
      <c r="B30" s="272" t="str">
        <f>'CB-17'!B30</f>
        <v>WA DOR Excise Tax</v>
      </c>
      <c r="C30" s="357">
        <f t="shared" si="7"/>
        <v>104</v>
      </c>
      <c r="D30" s="273">
        <f t="shared" si="2"/>
        <v>104</v>
      </c>
      <c r="E30" s="274">
        <f>'CB-17'!E30</f>
        <v>1</v>
      </c>
      <c r="F30" s="275">
        <f t="shared" si="3"/>
        <v>104</v>
      </c>
      <c r="G30" s="278"/>
      <c r="H30" s="278"/>
      <c r="I30" s="278"/>
      <c r="J30" s="278"/>
      <c r="K30" s="278">
        <v>104</v>
      </c>
      <c r="L30" s="278"/>
      <c r="M30" s="278"/>
      <c r="N30" s="278"/>
      <c r="O30" s="278"/>
      <c r="P30" s="278"/>
      <c r="Q30" s="278"/>
      <c r="R30" s="278"/>
    </row>
    <row r="31" spans="2:18" x14ac:dyDescent="0.25">
      <c r="B31" s="272" t="str">
        <f>'CB-17'!B31</f>
        <v>Garnishment Fee</v>
      </c>
      <c r="C31" s="357">
        <f t="shared" si="7"/>
        <v>0</v>
      </c>
      <c r="D31" s="273">
        <f t="shared" si="2"/>
        <v>0</v>
      </c>
      <c r="E31" s="274">
        <f>'CB-17'!E31</f>
        <v>1</v>
      </c>
      <c r="F31" s="275">
        <f t="shared" si="3"/>
        <v>0</v>
      </c>
      <c r="G31" s="278"/>
      <c r="H31" s="278"/>
      <c r="I31" s="278"/>
      <c r="J31" s="278"/>
      <c r="K31" s="278"/>
      <c r="L31" s="278"/>
      <c r="M31" s="278"/>
      <c r="N31" s="278"/>
      <c r="O31" s="278"/>
      <c r="P31" s="278"/>
      <c r="Q31" s="278"/>
      <c r="R31" s="278"/>
    </row>
    <row r="32" spans="2:18" x14ac:dyDescent="0.25">
      <c r="B32" s="272" t="str">
        <f>'CB-17'!B32</f>
        <v>LNI Insurance</v>
      </c>
      <c r="C32" s="357">
        <f t="shared" si="7"/>
        <v>138.13</v>
      </c>
      <c r="D32" s="273">
        <f t="shared" si="2"/>
        <v>138.13</v>
      </c>
      <c r="E32" s="274">
        <f>'CB-17'!E32</f>
        <v>1</v>
      </c>
      <c r="F32" s="275">
        <f t="shared" si="3"/>
        <v>138.13</v>
      </c>
      <c r="G32" s="278"/>
      <c r="H32" s="278"/>
      <c r="I32" s="278"/>
      <c r="J32" s="278">
        <f>33.64+84.46</f>
        <v>118.1</v>
      </c>
      <c r="K32" s="278">
        <v>10.029999999999999</v>
      </c>
      <c r="L32" s="278"/>
      <c r="M32" s="278"/>
      <c r="N32" s="278"/>
      <c r="O32" s="278"/>
      <c r="P32" s="278">
        <v>10</v>
      </c>
      <c r="Q32" s="278"/>
      <c r="R32" s="278"/>
    </row>
    <row r="33" spans="1:18" x14ac:dyDescent="0.25">
      <c r="B33" s="272" t="str">
        <f>'CB-17'!B33</f>
        <v>WA Employment Security</v>
      </c>
      <c r="C33" s="357">
        <f t="shared" si="7"/>
        <v>0</v>
      </c>
      <c r="D33" s="273">
        <f t="shared" si="2"/>
        <v>0</v>
      </c>
      <c r="E33" s="274">
        <f>'CB-17'!E33</f>
        <v>1</v>
      </c>
      <c r="F33" s="275"/>
      <c r="G33" s="278"/>
      <c r="H33" s="278"/>
      <c r="I33" s="278"/>
      <c r="J33" s="278"/>
      <c r="K33" s="278"/>
      <c r="L33" s="278"/>
      <c r="M33" s="278"/>
      <c r="N33" s="278"/>
      <c r="O33" s="278"/>
      <c r="P33" s="278"/>
      <c r="Q33" s="278"/>
      <c r="R33" s="278"/>
    </row>
    <row r="34" spans="1:18" x14ac:dyDescent="0.25">
      <c r="B34" s="295" t="str">
        <f>'CB-17'!B34</f>
        <v>Commercial Insurance</v>
      </c>
      <c r="C34" s="357">
        <f t="shared" si="7"/>
        <v>0</v>
      </c>
      <c r="D34" s="273">
        <f t="shared" si="2"/>
        <v>0</v>
      </c>
      <c r="E34" s="274">
        <f>'CB-17'!E34</f>
        <v>1</v>
      </c>
      <c r="F34" s="305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</row>
    <row r="35" spans="1:18" x14ac:dyDescent="0.25">
      <c r="B35" s="288" t="str">
        <f>'CB-17'!B35</f>
        <v>PROFESSIONAL SERVICES</v>
      </c>
      <c r="C35" s="453">
        <f>SUM(C36:C44)</f>
        <v>3521.7866666666664</v>
      </c>
      <c r="D35" s="288"/>
      <c r="E35" s="288"/>
      <c r="F35" s="288"/>
      <c r="G35" s="288"/>
      <c r="H35" s="288"/>
      <c r="I35" s="288"/>
      <c r="J35" s="288"/>
      <c r="K35" s="288"/>
      <c r="L35" s="288"/>
      <c r="M35" s="288"/>
      <c r="N35" s="288"/>
      <c r="O35" s="288"/>
      <c r="P35" s="288"/>
      <c r="Q35" s="288"/>
      <c r="R35" s="288"/>
    </row>
    <row r="36" spans="1:18" x14ac:dyDescent="0.25">
      <c r="A36" t="s">
        <v>116</v>
      </c>
      <c r="B36" s="272" t="str">
        <f>'CB-17'!B36</f>
        <v>Web Domains</v>
      </c>
      <c r="C36" s="357">
        <f t="shared" si="7"/>
        <v>237.44</v>
      </c>
      <c r="D36" s="273">
        <f t="shared" ref="D36:D63" si="8">E36*F36</f>
        <v>237.44</v>
      </c>
      <c r="E36" s="274">
        <f>'CB-17'!E36</f>
        <v>1</v>
      </c>
      <c r="F36" s="275">
        <f t="shared" si="3"/>
        <v>237.44</v>
      </c>
      <c r="G36" s="278">
        <f>33.03+33.03+22.02</f>
        <v>88.08</v>
      </c>
      <c r="H36" s="278">
        <f>13.21+56.88</f>
        <v>70.09</v>
      </c>
      <c r="I36" s="278">
        <v>13.21</v>
      </c>
      <c r="J36" s="278">
        <v>26.42</v>
      </c>
      <c r="K36" s="278"/>
      <c r="L36" s="278"/>
      <c r="M36" s="278"/>
      <c r="N36" s="278"/>
      <c r="O36" s="278"/>
      <c r="P36" s="278">
        <v>39.64</v>
      </c>
      <c r="Q36" s="278"/>
      <c r="R36" s="278"/>
    </row>
    <row r="37" spans="1:18" x14ac:dyDescent="0.25">
      <c r="A37" t="s">
        <v>81</v>
      </c>
      <c r="B37" s="272" t="str">
        <f>'CB-17'!B37</f>
        <v>Web Hosting</v>
      </c>
      <c r="C37" s="357">
        <f t="shared" si="7"/>
        <v>123.1</v>
      </c>
      <c r="D37" s="273">
        <f t="shared" si="8"/>
        <v>123.1</v>
      </c>
      <c r="E37" s="274">
        <f>'CB-17'!E37</f>
        <v>1</v>
      </c>
      <c r="F37" s="275">
        <f t="shared" si="3"/>
        <v>123.1</v>
      </c>
      <c r="G37" s="278">
        <v>20.010000000000002</v>
      </c>
      <c r="H37" s="278"/>
      <c r="I37" s="278"/>
      <c r="J37" s="278"/>
      <c r="K37" s="278"/>
      <c r="L37" s="278"/>
      <c r="M37" s="278">
        <v>14.93</v>
      </c>
      <c r="N37" s="278"/>
      <c r="O37" s="278"/>
      <c r="P37" s="278">
        <v>88.16</v>
      </c>
      <c r="Q37" s="278"/>
      <c r="R37" s="278"/>
    </row>
    <row r="38" spans="1:18" x14ac:dyDescent="0.25">
      <c r="A38" t="s">
        <v>117</v>
      </c>
      <c r="B38" s="272" t="s">
        <v>118</v>
      </c>
      <c r="C38" s="357">
        <f t="shared" si="7"/>
        <v>0</v>
      </c>
      <c r="D38" s="273">
        <f>E38*F38</f>
        <v>0</v>
      </c>
      <c r="E38" s="274">
        <f>'CB-17'!E38</f>
        <v>1</v>
      </c>
      <c r="F38" s="275">
        <f>SUM(G38:R38)</f>
        <v>0</v>
      </c>
      <c r="G38" s="278"/>
      <c r="H38" s="278"/>
      <c r="I38" s="278"/>
      <c r="J38" s="278"/>
      <c r="K38" s="278"/>
      <c r="L38" s="278"/>
      <c r="M38" s="278"/>
      <c r="N38" s="278"/>
      <c r="O38" s="278"/>
      <c r="P38" s="278"/>
      <c r="Q38" s="278"/>
      <c r="R38" s="278"/>
    </row>
    <row r="39" spans="1:18" x14ac:dyDescent="0.25">
      <c r="A39" t="s">
        <v>87</v>
      </c>
      <c r="B39" s="272" t="s">
        <v>86</v>
      </c>
      <c r="C39" s="357">
        <f t="shared" si="7"/>
        <v>0</v>
      </c>
      <c r="D39" s="273">
        <f>E39*F39</f>
        <v>0</v>
      </c>
      <c r="E39" s="274">
        <f>'CB-17'!E39</f>
        <v>1</v>
      </c>
      <c r="F39" s="275">
        <f>SUM(G39:R39)</f>
        <v>0</v>
      </c>
      <c r="G39" s="278"/>
      <c r="H39" s="278"/>
      <c r="I39" s="278"/>
      <c r="J39" s="278"/>
      <c r="K39" s="278"/>
      <c r="L39" s="278"/>
      <c r="M39" s="278"/>
      <c r="N39" s="278"/>
      <c r="O39" s="278"/>
      <c r="P39" s="278"/>
      <c r="Q39" s="278"/>
      <c r="R39" s="278"/>
    </row>
    <row r="40" spans="1:18" x14ac:dyDescent="0.25">
      <c r="A40" t="s">
        <v>89</v>
      </c>
      <c r="B40" s="272" t="s">
        <v>88</v>
      </c>
      <c r="C40" s="357">
        <f t="shared" si="7"/>
        <v>2426.6666666666665</v>
      </c>
      <c r="D40" s="273">
        <f>E40*F40</f>
        <v>2426.6666666666665</v>
      </c>
      <c r="E40" s="274">
        <f>'CB-17'!E40</f>
        <v>1</v>
      </c>
      <c r="F40" s="278">
        <f>(52/3)*140</f>
        <v>2426.6666666666665</v>
      </c>
      <c r="G40" s="117"/>
      <c r="H40" s="278"/>
      <c r="I40" s="278"/>
      <c r="J40" s="278"/>
      <c r="K40" s="278"/>
      <c r="L40" s="278"/>
      <c r="M40" s="278"/>
      <c r="N40" s="278"/>
      <c r="O40" s="278"/>
      <c r="P40" s="278"/>
      <c r="Q40" s="278"/>
      <c r="R40" s="278"/>
    </row>
    <row r="41" spans="1:18" x14ac:dyDescent="0.25">
      <c r="B41" s="272" t="s">
        <v>90</v>
      </c>
      <c r="C41" s="357">
        <f t="shared" si="7"/>
        <v>52.93</v>
      </c>
      <c r="D41" s="273">
        <f>E41*F41</f>
        <v>52.93</v>
      </c>
      <c r="E41" s="274">
        <f>'CB-17'!E41</f>
        <v>1</v>
      </c>
      <c r="F41" s="275">
        <f>SUM(G41:R41)</f>
        <v>52.93</v>
      </c>
      <c r="G41" s="278"/>
      <c r="H41" s="278"/>
      <c r="I41" s="278"/>
      <c r="J41" s="278"/>
      <c r="K41" s="278"/>
      <c r="L41" s="278"/>
      <c r="M41" s="278"/>
      <c r="N41" s="278"/>
      <c r="O41" s="278"/>
      <c r="P41" s="278"/>
      <c r="Q41" s="278"/>
      <c r="R41" s="278">
        <v>52.93</v>
      </c>
    </row>
    <row r="42" spans="1:18" x14ac:dyDescent="0.25">
      <c r="B42" s="272" t="s">
        <v>91</v>
      </c>
      <c r="C42" s="357">
        <f t="shared" si="7"/>
        <v>103.65</v>
      </c>
      <c r="D42" s="273">
        <f t="shared" si="8"/>
        <v>103.65</v>
      </c>
      <c r="E42" s="274">
        <f>'CB-17'!E42</f>
        <v>1</v>
      </c>
      <c r="F42" s="275">
        <f t="shared" si="3"/>
        <v>103.65</v>
      </c>
      <c r="G42" s="278">
        <v>3.75</v>
      </c>
      <c r="H42" s="278"/>
      <c r="I42" s="278"/>
      <c r="J42" s="278">
        <f>8.4+51</f>
        <v>59.4</v>
      </c>
      <c r="K42" s="278"/>
      <c r="L42" s="278"/>
      <c r="M42" s="278">
        <v>7</v>
      </c>
      <c r="N42" s="278">
        <v>7</v>
      </c>
      <c r="O42" s="278">
        <v>7</v>
      </c>
      <c r="P42" s="278">
        <v>7</v>
      </c>
      <c r="Q42" s="278">
        <v>7</v>
      </c>
      <c r="R42" s="278">
        <v>5.5</v>
      </c>
    </row>
    <row r="43" spans="1:18" x14ac:dyDescent="0.25">
      <c r="B43" s="272" t="s">
        <v>119</v>
      </c>
      <c r="C43" s="357">
        <f t="shared" si="7"/>
        <v>468</v>
      </c>
      <c r="D43" s="273">
        <f t="shared" si="8"/>
        <v>468</v>
      </c>
      <c r="E43" s="274">
        <f>'CB-17'!E43</f>
        <v>1</v>
      </c>
      <c r="F43" s="275">
        <f t="shared" si="3"/>
        <v>468</v>
      </c>
      <c r="G43" s="278"/>
      <c r="H43" s="278">
        <v>39</v>
      </c>
      <c r="I43" s="278">
        <f>39+39</f>
        <v>78</v>
      </c>
      <c r="J43" s="278">
        <v>39</v>
      </c>
      <c r="K43" s="278"/>
      <c r="L43" s="278">
        <f>39+39</f>
        <v>78</v>
      </c>
      <c r="M43" s="278">
        <v>39</v>
      </c>
      <c r="N43" s="278">
        <v>39</v>
      </c>
      <c r="O43" s="278">
        <v>39</v>
      </c>
      <c r="P43" s="278"/>
      <c r="Q43" s="278">
        <f>39+39</f>
        <v>78</v>
      </c>
      <c r="R43" s="278">
        <v>39</v>
      </c>
    </row>
    <row r="44" spans="1:18" x14ac:dyDescent="0.25">
      <c r="B44" s="272" t="s">
        <v>120</v>
      </c>
      <c r="C44" s="357">
        <f t="shared" si="7"/>
        <v>110</v>
      </c>
      <c r="D44" s="273">
        <f t="shared" si="8"/>
        <v>110</v>
      </c>
      <c r="E44" s="274">
        <f>'CB-17'!E44</f>
        <v>1</v>
      </c>
      <c r="F44" s="275">
        <f t="shared" si="3"/>
        <v>110</v>
      </c>
      <c r="G44" s="278"/>
      <c r="H44" s="278"/>
      <c r="I44" s="278"/>
      <c r="J44" s="278"/>
      <c r="K44" s="278"/>
      <c r="L44" s="278"/>
      <c r="M44" s="278"/>
      <c r="N44" s="278"/>
      <c r="O44" s="278"/>
      <c r="P44" s="278">
        <v>55</v>
      </c>
      <c r="Q44" s="278">
        <v>27.5</v>
      </c>
      <c r="R44" s="278">
        <v>27.5</v>
      </c>
    </row>
    <row r="45" spans="1:18" x14ac:dyDescent="0.25">
      <c r="B45" s="288" t="str">
        <f>'CB-17'!B45</f>
        <v>SUBSCRIPTIONS</v>
      </c>
      <c r="C45" s="288"/>
      <c r="D45" s="288"/>
      <c r="E45" s="288"/>
      <c r="F45" s="288"/>
      <c r="G45" s="288"/>
      <c r="H45" s="288"/>
      <c r="I45" s="288"/>
      <c r="J45" s="288"/>
      <c r="K45" s="288"/>
      <c r="L45" s="288"/>
      <c r="M45" s="288"/>
      <c r="N45" s="288"/>
      <c r="O45" s="288"/>
      <c r="P45" s="288"/>
      <c r="Q45" s="288"/>
      <c r="R45" s="288"/>
    </row>
    <row r="46" spans="1:18" x14ac:dyDescent="0.25">
      <c r="B46" s="272" t="s">
        <v>121</v>
      </c>
      <c r="C46" s="357"/>
      <c r="D46" s="273">
        <f t="shared" si="8"/>
        <v>72.085000000000008</v>
      </c>
      <c r="E46" s="274">
        <f>'CB-17'!E46</f>
        <v>0.5</v>
      </c>
      <c r="F46" s="275">
        <f>SUM(G46:R46)</f>
        <v>144.17000000000002</v>
      </c>
      <c r="G46" s="278"/>
      <c r="H46" s="278"/>
      <c r="I46" s="278"/>
      <c r="J46" s="278"/>
      <c r="K46" s="278"/>
      <c r="L46" s="278">
        <v>8.8000000000000007</v>
      </c>
      <c r="M46" s="278">
        <f>9.9+18.7</f>
        <v>28.6</v>
      </c>
      <c r="N46" s="278">
        <v>18.7</v>
      </c>
      <c r="O46" s="278">
        <v>0</v>
      </c>
      <c r="P46" s="278">
        <v>0</v>
      </c>
      <c r="Q46" s="278">
        <v>0</v>
      </c>
      <c r="R46" s="278">
        <v>88.07</v>
      </c>
    </row>
    <row r="47" spans="1:18" x14ac:dyDescent="0.25">
      <c r="B47" s="272" t="s">
        <v>122</v>
      </c>
      <c r="C47" s="357"/>
      <c r="D47" s="273">
        <f t="shared" si="8"/>
        <v>197.52000000000007</v>
      </c>
      <c r="E47" s="274">
        <f>'CB-17'!E47</f>
        <v>1</v>
      </c>
      <c r="F47" s="275">
        <f>SUM(G47:R47)</f>
        <v>197.52000000000007</v>
      </c>
      <c r="G47" s="278">
        <v>16.46</v>
      </c>
      <c r="H47" s="278">
        <v>16.46</v>
      </c>
      <c r="I47" s="278">
        <v>16.46</v>
      </c>
      <c r="J47" s="278">
        <v>16.46</v>
      </c>
      <c r="K47" s="278">
        <v>16.46</v>
      </c>
      <c r="L47" s="278">
        <v>16.46</v>
      </c>
      <c r="M47" s="278">
        <v>16.46</v>
      </c>
      <c r="N47" s="278">
        <v>16.46</v>
      </c>
      <c r="O47" s="278">
        <v>16.46</v>
      </c>
      <c r="P47" s="278">
        <v>16.46</v>
      </c>
      <c r="Q47" s="278">
        <v>16.46</v>
      </c>
      <c r="R47" s="278">
        <v>16.46</v>
      </c>
    </row>
    <row r="48" spans="1:18" x14ac:dyDescent="0.25">
      <c r="B48" s="272" t="s">
        <v>123</v>
      </c>
      <c r="C48" s="357"/>
      <c r="D48" s="273">
        <f t="shared" si="8"/>
        <v>26.34</v>
      </c>
      <c r="E48" s="274">
        <f>'CB-17'!E48</f>
        <v>0.5</v>
      </c>
      <c r="F48" s="275">
        <f>SUM(G48:R48)</f>
        <v>52.68</v>
      </c>
      <c r="G48" s="278">
        <v>4.3899999999999997</v>
      </c>
      <c r="H48" s="278">
        <v>4.3899999999999997</v>
      </c>
      <c r="I48" s="278">
        <v>4.3899999999999997</v>
      </c>
      <c r="J48" s="278">
        <v>4.3899999999999997</v>
      </c>
      <c r="K48" s="278">
        <v>4.3899999999999997</v>
      </c>
      <c r="L48" s="278">
        <v>4.3899999999999997</v>
      </c>
      <c r="M48" s="278">
        <v>4.3899999999999997</v>
      </c>
      <c r="N48" s="278">
        <v>4.3899999999999997</v>
      </c>
      <c r="O48" s="278">
        <v>4.3899999999999997</v>
      </c>
      <c r="P48" s="278">
        <v>4.3899999999999997</v>
      </c>
      <c r="Q48" s="278">
        <v>4.3899999999999997</v>
      </c>
      <c r="R48" s="278">
        <v>4.3899999999999997</v>
      </c>
    </row>
    <row r="49" spans="2:18" x14ac:dyDescent="0.25">
      <c r="B49" s="272" t="s">
        <v>102</v>
      </c>
      <c r="C49" s="357"/>
      <c r="D49" s="273">
        <f t="shared" si="8"/>
        <v>499</v>
      </c>
      <c r="E49" s="274">
        <f>'CB-17'!E49</f>
        <v>1</v>
      </c>
      <c r="F49" s="535">
        <f t="shared" si="3"/>
        <v>499</v>
      </c>
      <c r="G49" s="115"/>
      <c r="H49" s="115"/>
      <c r="I49" s="115"/>
      <c r="J49" s="115"/>
      <c r="K49" s="115"/>
      <c r="L49" s="115"/>
      <c r="M49" s="115"/>
      <c r="N49" s="115">
        <v>499</v>
      </c>
      <c r="O49" s="115"/>
      <c r="P49" s="115"/>
      <c r="Q49" s="115"/>
      <c r="R49" s="115"/>
    </row>
    <row r="50" spans="2:18" x14ac:dyDescent="0.25">
      <c r="B50" s="272" t="s">
        <v>103</v>
      </c>
      <c r="C50" s="357"/>
      <c r="D50" s="273">
        <f t="shared" si="8"/>
        <v>0</v>
      </c>
      <c r="E50" s="274">
        <f>'CB-17'!E50</f>
        <v>1</v>
      </c>
      <c r="F50" s="535">
        <f t="shared" si="3"/>
        <v>0</v>
      </c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</row>
    <row r="51" spans="2:18" x14ac:dyDescent="0.25">
      <c r="B51" s="272" t="s">
        <v>104</v>
      </c>
      <c r="C51" s="357"/>
      <c r="D51" s="273">
        <f t="shared" si="8"/>
        <v>95.789999999999992</v>
      </c>
      <c r="E51" s="274">
        <f>'CB-17'!E51</f>
        <v>1</v>
      </c>
      <c r="F51" s="535">
        <f t="shared" si="3"/>
        <v>95.789999999999992</v>
      </c>
      <c r="G51" s="115"/>
      <c r="H51" s="115"/>
      <c r="I51" s="115"/>
      <c r="J51" s="115"/>
      <c r="K51" s="115"/>
      <c r="L51" s="115"/>
      <c r="M51" s="115">
        <v>31.93</v>
      </c>
      <c r="N51" s="115">
        <v>31.93</v>
      </c>
      <c r="O51" s="115">
        <v>31.93</v>
      </c>
      <c r="P51" s="115"/>
      <c r="Q51" s="115"/>
      <c r="R51" s="115"/>
    </row>
    <row r="52" spans="2:18" x14ac:dyDescent="0.25">
      <c r="B52" s="272" t="s">
        <v>105</v>
      </c>
      <c r="C52" s="357"/>
      <c r="D52" s="273">
        <f t="shared" si="8"/>
        <v>0</v>
      </c>
      <c r="E52" s="274">
        <f>'CB-17'!E52</f>
        <v>1</v>
      </c>
      <c r="F52" s="535">
        <f t="shared" si="3"/>
        <v>0</v>
      </c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</row>
    <row r="53" spans="2:18" x14ac:dyDescent="0.25">
      <c r="B53" s="272" t="s">
        <v>106</v>
      </c>
      <c r="C53" s="357"/>
      <c r="D53" s="273">
        <f t="shared" si="8"/>
        <v>0</v>
      </c>
      <c r="E53" s="274">
        <f>'CB-17'!E53</f>
        <v>1</v>
      </c>
      <c r="F53" s="535">
        <f t="shared" si="3"/>
        <v>0</v>
      </c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</row>
    <row r="54" spans="2:18" x14ac:dyDescent="0.25">
      <c r="B54" s="272" t="s">
        <v>107</v>
      </c>
      <c r="C54" s="357"/>
      <c r="D54" s="273">
        <f t="shared" si="8"/>
        <v>176.35999999999996</v>
      </c>
      <c r="E54" s="274">
        <f>'CB-17'!E54</f>
        <v>1</v>
      </c>
      <c r="F54" s="535">
        <f t="shared" si="3"/>
        <v>176.35999999999996</v>
      </c>
      <c r="G54" s="115">
        <v>5.51</v>
      </c>
      <c r="H54" s="115">
        <v>0</v>
      </c>
      <c r="I54" s="115">
        <v>0</v>
      </c>
      <c r="J54" s="115">
        <v>0</v>
      </c>
      <c r="K54" s="115">
        <v>0</v>
      </c>
      <c r="L54" s="115">
        <v>44.04</v>
      </c>
      <c r="M54" s="115">
        <f>5.69+44.04</f>
        <v>49.73</v>
      </c>
      <c r="N54" s="115">
        <f>11.01+44.04</f>
        <v>55.05</v>
      </c>
      <c r="O54" s="115">
        <v>11.01</v>
      </c>
      <c r="P54" s="115">
        <v>0</v>
      </c>
      <c r="Q54" s="115">
        <v>5.51</v>
      </c>
      <c r="R54" s="115">
        <v>5.51</v>
      </c>
    </row>
    <row r="55" spans="2:18" x14ac:dyDescent="0.25">
      <c r="B55" s="272" t="s">
        <v>108</v>
      </c>
      <c r="C55" s="357"/>
      <c r="D55" s="273">
        <f t="shared" si="8"/>
        <v>0</v>
      </c>
      <c r="E55" s="274">
        <f>'CB-17'!E55</f>
        <v>1</v>
      </c>
      <c r="F55" s="535">
        <f t="shared" si="3"/>
        <v>0</v>
      </c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</row>
    <row r="56" spans="2:18" x14ac:dyDescent="0.25">
      <c r="B56" s="295" t="s">
        <v>110</v>
      </c>
      <c r="C56" s="357"/>
      <c r="D56" s="273">
        <f t="shared" si="8"/>
        <v>280.77999999999997</v>
      </c>
      <c r="E56" s="274">
        <f>'CB-17'!E56</f>
        <v>1</v>
      </c>
      <c r="F56" s="535">
        <f t="shared" si="3"/>
        <v>280.77999999999997</v>
      </c>
      <c r="G56" s="115">
        <v>16.52</v>
      </c>
      <c r="H56" s="115"/>
      <c r="I56" s="115">
        <f>16.52+16.52</f>
        <v>33.04</v>
      </c>
      <c r="J56" s="115">
        <f>16.52+16.52</f>
        <v>33.04</v>
      </c>
      <c r="K56" s="115">
        <v>33.04</v>
      </c>
      <c r="L56" s="115">
        <f>16.52+16.52</f>
        <v>33.04</v>
      </c>
      <c r="M56" s="115">
        <v>66.05</v>
      </c>
      <c r="N56" s="115">
        <v>66.05</v>
      </c>
      <c r="O56" s="115"/>
      <c r="P56" s="115"/>
      <c r="Q56" s="115"/>
      <c r="R56" s="115"/>
    </row>
    <row r="57" spans="2:18" x14ac:dyDescent="0.25">
      <c r="B57" s="295" t="s">
        <v>124</v>
      </c>
      <c r="C57" s="357"/>
      <c r="D57" s="273">
        <f t="shared" si="8"/>
        <v>358</v>
      </c>
      <c r="E57" s="274">
        <f>'CB-17'!E57</f>
        <v>1</v>
      </c>
      <c r="F57" s="535">
        <f t="shared" si="3"/>
        <v>358</v>
      </c>
      <c r="G57" s="115"/>
      <c r="H57" s="115"/>
      <c r="I57" s="115"/>
      <c r="J57" s="115"/>
      <c r="K57" s="115">
        <f>67+97+97+97</f>
        <v>358</v>
      </c>
      <c r="L57" s="115"/>
      <c r="M57" s="115"/>
      <c r="N57" s="115"/>
      <c r="O57" s="115"/>
      <c r="P57" s="115"/>
      <c r="Q57" s="115"/>
      <c r="R57" s="115"/>
    </row>
    <row r="58" spans="2:18" hidden="1" x14ac:dyDescent="0.25">
      <c r="B58" s="272" t="s">
        <v>93</v>
      </c>
      <c r="C58" s="357"/>
      <c r="D58" s="273">
        <f t="shared" si="8"/>
        <v>0</v>
      </c>
      <c r="E58" s="274">
        <f>'CB-17'!E58</f>
        <v>1</v>
      </c>
      <c r="F58" s="53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</row>
    <row r="59" spans="2:18" hidden="1" x14ac:dyDescent="0.25">
      <c r="B59" s="272" t="s">
        <v>95</v>
      </c>
      <c r="C59" s="357"/>
      <c r="D59" s="273" t="e">
        <f t="shared" si="8"/>
        <v>#VALUE!</v>
      </c>
      <c r="E59" s="274" t="str">
        <f>'CB-17'!E59</f>
        <v>Rate</v>
      </c>
      <c r="F59" s="53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</row>
    <row r="60" spans="2:18" hidden="1" x14ac:dyDescent="0.25">
      <c r="B60" s="272" t="s">
        <v>97</v>
      </c>
      <c r="C60" s="357"/>
      <c r="D60" s="273">
        <f t="shared" si="8"/>
        <v>0</v>
      </c>
      <c r="E60" s="274">
        <f>'CB-17'!E60</f>
        <v>0.56000000000000005</v>
      </c>
      <c r="F60" s="53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</row>
    <row r="61" spans="2:18" x14ac:dyDescent="0.25">
      <c r="B61" s="272" t="s">
        <v>125</v>
      </c>
      <c r="C61" s="357"/>
      <c r="D61" s="273">
        <f t="shared" si="8"/>
        <v>0</v>
      </c>
      <c r="E61" s="274">
        <f>'CB-17'!E61</f>
        <v>0</v>
      </c>
      <c r="F61" s="535">
        <f t="shared" si="3"/>
        <v>99</v>
      </c>
      <c r="G61" s="115"/>
      <c r="H61" s="115"/>
      <c r="I61" s="115"/>
      <c r="J61" s="115"/>
      <c r="K61" s="115"/>
      <c r="L61" s="115"/>
      <c r="M61" s="115">
        <v>99</v>
      </c>
      <c r="N61" s="115"/>
      <c r="O61" s="115"/>
      <c r="P61" s="115"/>
      <c r="Q61" s="115"/>
      <c r="R61" s="115"/>
    </row>
    <row r="62" spans="2:18" x14ac:dyDescent="0.25">
      <c r="B62" s="288" t="s">
        <v>126</v>
      </c>
      <c r="C62" s="453"/>
      <c r="D62" s="290" t="s">
        <v>60</v>
      </c>
      <c r="E62" s="290" t="s">
        <v>61</v>
      </c>
      <c r="F62" s="290" t="s">
        <v>62</v>
      </c>
      <c r="G62" s="288"/>
      <c r="H62" s="288"/>
      <c r="I62" s="288"/>
      <c r="J62" s="288"/>
      <c r="K62" s="288"/>
      <c r="L62" s="288"/>
      <c r="M62" s="288"/>
      <c r="N62" s="288"/>
      <c r="O62" s="288"/>
      <c r="P62" s="288"/>
      <c r="Q62" s="288"/>
      <c r="R62" s="288"/>
    </row>
    <row r="63" spans="2:18" x14ac:dyDescent="0.25">
      <c r="B63" s="454" t="s">
        <v>127</v>
      </c>
      <c r="C63" s="357"/>
      <c r="D63" s="273">
        <f t="shared" si="8"/>
        <v>0</v>
      </c>
      <c r="E63" s="412">
        <v>0.56000000000000005</v>
      </c>
      <c r="F63" s="535">
        <f>SUM(G63:R63)</f>
        <v>0</v>
      </c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</row>
    <row r="64" spans="2:18" x14ac:dyDescent="0.25">
      <c r="B64" s="288" t="str">
        <f>'CB-17'!B61</f>
        <v>SETUP EXPENSES</v>
      </c>
      <c r="C64" s="458">
        <f>'CB-17'!C61</f>
        <v>0</v>
      </c>
      <c r="D64" s="288">
        <f>'CB-17'!D61</f>
        <v>0</v>
      </c>
      <c r="E64" s="288">
        <f>'CB-17'!E61</f>
        <v>0</v>
      </c>
      <c r="F64" s="288">
        <f>'CB-17'!F61</f>
        <v>0</v>
      </c>
      <c r="G64" s="288">
        <f>'CB-17'!G61</f>
        <v>0</v>
      </c>
      <c r="H64" s="288">
        <f>'CB-17'!H61</f>
        <v>0</v>
      </c>
      <c r="I64" s="288">
        <f>'CB-17'!I61</f>
        <v>0</v>
      </c>
      <c r="J64" s="288">
        <f>'CB-17'!J61</f>
        <v>0</v>
      </c>
      <c r="K64" s="288">
        <f>'CB-17'!K61</f>
        <v>0</v>
      </c>
      <c r="L64" s="288">
        <f>'CB-17'!L61</f>
        <v>0</v>
      </c>
      <c r="M64" s="288">
        <f>'CB-17'!M61</f>
        <v>0</v>
      </c>
      <c r="N64" s="288">
        <f>'CB-17'!N61</f>
        <v>0</v>
      </c>
      <c r="O64" s="288">
        <f>'CB-17'!O61</f>
        <v>0</v>
      </c>
      <c r="P64" s="288">
        <f>'CB-17'!P61</f>
        <v>0</v>
      </c>
      <c r="Q64" s="288">
        <f>'CB-17'!Q61</f>
        <v>0</v>
      </c>
      <c r="R64" s="288">
        <f>'CB-17'!R61</f>
        <v>0</v>
      </c>
    </row>
    <row r="65" spans="2:18" x14ac:dyDescent="0.25">
      <c r="B65" s="288" t="str">
        <f>'CB-17'!B62</f>
        <v>WOODRIDGE OFFICE RENOVATION</v>
      </c>
      <c r="C65" s="453"/>
      <c r="D65" s="290"/>
      <c r="E65" s="290"/>
      <c r="F65" s="290"/>
      <c r="G65" s="288"/>
      <c r="H65" s="459"/>
      <c r="I65" s="288"/>
      <c r="J65" s="288"/>
      <c r="K65" s="288"/>
      <c r="L65" s="288"/>
      <c r="M65" s="288"/>
      <c r="N65" s="288"/>
      <c r="O65" s="288"/>
      <c r="P65" s="288"/>
      <c r="Q65" s="288"/>
      <c r="R65" s="288"/>
    </row>
    <row r="66" spans="2:18" x14ac:dyDescent="0.25">
      <c r="B66" s="295" t="str">
        <f>'CB-17'!B63</f>
        <v>Flooring</v>
      </c>
      <c r="C66" s="357"/>
      <c r="D66" s="273">
        <f t="shared" ref="D66:D78" si="9">E66*F66</f>
        <v>0</v>
      </c>
      <c r="E66" s="274">
        <f>'CB-17'!E63</f>
        <v>1</v>
      </c>
      <c r="F66" s="535">
        <f t="shared" ref="F66:F78" si="10">SUM(G66:R66)</f>
        <v>0</v>
      </c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</row>
    <row r="67" spans="2:18" x14ac:dyDescent="0.25">
      <c r="B67" s="295" t="str">
        <f>'CB-17'!B64</f>
        <v>Paint</v>
      </c>
      <c r="C67" s="357"/>
      <c r="D67" s="273">
        <f t="shared" si="9"/>
        <v>0</v>
      </c>
      <c r="E67" s="274">
        <f>'CB-17'!E64</f>
        <v>1</v>
      </c>
      <c r="F67" s="535">
        <f t="shared" si="10"/>
        <v>0</v>
      </c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</row>
    <row r="68" spans="2:18" x14ac:dyDescent="0.25">
      <c r="B68" s="295" t="str">
        <f>'CB-17'!B65</f>
        <v>bathroom</v>
      </c>
      <c r="C68" s="357"/>
      <c r="D68" s="273">
        <f t="shared" si="9"/>
        <v>135.21</v>
      </c>
      <c r="E68" s="274">
        <f>'CB-17'!E65</f>
        <v>1</v>
      </c>
      <c r="F68" s="535">
        <f t="shared" si="10"/>
        <v>135.21</v>
      </c>
      <c r="G68" s="117"/>
      <c r="H68" s="117"/>
      <c r="I68" s="117"/>
      <c r="J68" s="117"/>
      <c r="K68" s="117"/>
      <c r="L68" s="117"/>
      <c r="M68" s="117">
        <v>79.03</v>
      </c>
      <c r="N68" s="117"/>
      <c r="O68" s="117"/>
      <c r="P68" s="117"/>
      <c r="Q68" s="117">
        <v>20.89</v>
      </c>
      <c r="R68" s="117">
        <v>35.29</v>
      </c>
    </row>
    <row r="69" spans="2:18" x14ac:dyDescent="0.25">
      <c r="B69" s="295" t="str">
        <f>'CB-17'!B66</f>
        <v>electrical work</v>
      </c>
      <c r="C69" s="357"/>
      <c r="D69" s="273">
        <f t="shared" si="9"/>
        <v>0</v>
      </c>
      <c r="E69" s="274">
        <f>'CB-17'!E66</f>
        <v>1</v>
      </c>
      <c r="F69" s="535">
        <f t="shared" si="10"/>
        <v>0</v>
      </c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</row>
    <row r="70" spans="2:18" x14ac:dyDescent="0.25">
      <c r="B70" s="288" t="str">
        <f>'CB-17'!B67</f>
        <v>INDIA OFFICE RENOVATION</v>
      </c>
      <c r="C70" s="453"/>
      <c r="D70" s="290"/>
      <c r="E70" s="290"/>
      <c r="F70" s="290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</row>
    <row r="71" spans="2:18" x14ac:dyDescent="0.25">
      <c r="B71" s="295" t="str">
        <f>'CB-17'!B68</f>
        <v>faucets</v>
      </c>
      <c r="C71" s="357"/>
      <c r="D71" s="273">
        <f t="shared" si="9"/>
        <v>0</v>
      </c>
      <c r="E71" s="274">
        <f>'CB-17'!E68</f>
        <v>1</v>
      </c>
      <c r="F71" s="535">
        <f t="shared" si="10"/>
        <v>0</v>
      </c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</row>
    <row r="72" spans="2:18" x14ac:dyDescent="0.25">
      <c r="B72" s="295" t="str">
        <f>'CB-17'!B69</f>
        <v>furniture</v>
      </c>
      <c r="C72" s="357"/>
      <c r="D72" s="273">
        <f t="shared" si="9"/>
        <v>0</v>
      </c>
      <c r="E72" s="274">
        <f>'CB-17'!E69</f>
        <v>1</v>
      </c>
      <c r="F72" s="535">
        <f t="shared" si="10"/>
        <v>0</v>
      </c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</row>
    <row r="73" spans="2:18" x14ac:dyDescent="0.25">
      <c r="B73" s="295" t="str">
        <f>'CB-17'!B70</f>
        <v>lights</v>
      </c>
      <c r="C73" s="357"/>
      <c r="D73" s="273">
        <f t="shared" si="9"/>
        <v>0</v>
      </c>
      <c r="E73" s="274">
        <f>'CB-17'!E70</f>
        <v>1</v>
      </c>
      <c r="F73" s="535">
        <f t="shared" si="10"/>
        <v>0</v>
      </c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</row>
    <row r="74" spans="2:18" x14ac:dyDescent="0.25">
      <c r="B74" s="288" t="str">
        <f>'CB-17'!B71</f>
        <v>INDIA OFFICE EXPENSES</v>
      </c>
      <c r="C74" s="453"/>
      <c r="D74" s="290"/>
      <c r="E74" s="290"/>
      <c r="F74" s="290"/>
      <c r="G74" s="288"/>
      <c r="H74" s="288"/>
      <c r="I74" s="288"/>
      <c r="J74" s="288"/>
      <c r="K74" s="288"/>
      <c r="L74" s="288"/>
      <c r="M74" s="288"/>
      <c r="N74" s="288"/>
      <c r="O74" s="288"/>
      <c r="P74" s="288"/>
      <c r="Q74" s="288"/>
      <c r="R74" s="288"/>
    </row>
    <row r="75" spans="2:18" x14ac:dyDescent="0.25">
      <c r="B75" s="295" t="str">
        <f>'CB-17'!B72</f>
        <v>electricity</v>
      </c>
      <c r="C75" s="357"/>
      <c r="D75" s="273">
        <f t="shared" si="9"/>
        <v>0</v>
      </c>
      <c r="E75" s="274">
        <f>'CB-17'!E72</f>
        <v>1</v>
      </c>
      <c r="F75" s="535">
        <f t="shared" si="10"/>
        <v>0</v>
      </c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</row>
    <row r="76" spans="2:18" x14ac:dyDescent="0.25">
      <c r="B76" s="295" t="str">
        <f>'CB-17'!B73</f>
        <v>taxes</v>
      </c>
      <c r="C76" s="357"/>
      <c r="D76" s="273">
        <f t="shared" si="9"/>
        <v>0</v>
      </c>
      <c r="E76" s="274">
        <f>'CB-17'!E73</f>
        <v>1</v>
      </c>
      <c r="F76" s="535">
        <f t="shared" si="10"/>
        <v>0</v>
      </c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</row>
    <row r="77" spans="2:18" x14ac:dyDescent="0.25">
      <c r="B77" s="295" t="str">
        <f>'CB-17'!B74</f>
        <v>cleaning</v>
      </c>
      <c r="C77" s="357"/>
      <c r="D77" s="273">
        <f t="shared" si="9"/>
        <v>0</v>
      </c>
      <c r="E77" s="274">
        <f>'CB-17'!E74</f>
        <v>1</v>
      </c>
      <c r="F77" s="535">
        <f t="shared" si="10"/>
        <v>0</v>
      </c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</row>
    <row r="78" spans="2:18" x14ac:dyDescent="0.25">
      <c r="B78" s="295" t="str">
        <f>'CB-17'!B75</f>
        <v>Staff</v>
      </c>
      <c r="C78" s="357"/>
      <c r="D78" s="273">
        <f t="shared" si="9"/>
        <v>0</v>
      </c>
      <c r="E78" s="274">
        <f>'CB-17'!E75</f>
        <v>1</v>
      </c>
      <c r="F78" s="535">
        <f t="shared" si="10"/>
        <v>0</v>
      </c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</row>
    <row r="79" spans="2:18" x14ac:dyDescent="0.25">
      <c r="B79" s="528" t="str">
        <f>'CB-17'!B76</f>
        <v>PAYROLL</v>
      </c>
      <c r="C79" s="529"/>
      <c r="D79" s="402"/>
      <c r="E79" s="402"/>
      <c r="F79" s="402"/>
      <c r="G79" s="530"/>
      <c r="H79" s="531"/>
      <c r="I79" s="531"/>
      <c r="J79" s="531"/>
      <c r="K79" s="531"/>
      <c r="L79" s="531"/>
      <c r="M79" s="531"/>
      <c r="N79" s="531"/>
      <c r="O79" s="531"/>
      <c r="P79" s="531"/>
      <c r="Q79" s="531"/>
      <c r="R79" s="528"/>
    </row>
  </sheetData>
  <mergeCells count="1">
    <mergeCell ref="G1:R1"/>
  </mergeCells>
  <pageMargins left="0.7" right="0.7" top="0.75" bottom="0.75" header="0.3" footer="0.3"/>
  <pageSetup orientation="portrait" horizontalDpi="360" verticalDpi="36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B1D6C-93F3-4322-8B3C-534C6E004FB1}">
  <sheetPr>
    <tabColor rgb="FFC00000"/>
  </sheetPr>
  <dimension ref="A1:V80"/>
  <sheetViews>
    <sheetView workbookViewId="0">
      <pane xSplit="18" ySplit="2" topLeftCell="S3" activePane="bottomRight" state="frozen"/>
      <selection pane="topRight"/>
      <selection pane="bottomLeft"/>
      <selection pane="bottomRight" activeCell="G20" sqref="G20:R20"/>
    </sheetView>
  </sheetViews>
  <sheetFormatPr defaultRowHeight="15" x14ac:dyDescent="0.25"/>
  <cols>
    <col min="1" max="1" width="10.42578125" hidden="1" customWidth="1"/>
    <col min="2" max="2" width="32.28515625" bestFit="1" customWidth="1"/>
    <col min="3" max="3" width="9.85546875" style="358" bestFit="1" customWidth="1"/>
    <col min="4" max="4" width="7.5703125" style="1" bestFit="1" customWidth="1"/>
    <col min="5" max="5" width="6.140625" style="415" bestFit="1" customWidth="1"/>
    <col min="6" max="6" width="9.85546875" style="42" bestFit="1" customWidth="1"/>
    <col min="7" max="8" width="9.140625" bestFit="1" customWidth="1"/>
    <col min="9" max="18" width="11.42578125" bestFit="1" customWidth="1"/>
  </cols>
  <sheetData>
    <row r="1" spans="1:22" x14ac:dyDescent="0.25">
      <c r="A1" s="262">
        <f>Summary!J5</f>
        <v>2020</v>
      </c>
      <c r="B1" s="319">
        <f>Summary!J5</f>
        <v>2020</v>
      </c>
      <c r="C1" s="366"/>
      <c r="D1" s="245"/>
      <c r="E1" s="471"/>
      <c r="F1" s="245"/>
      <c r="G1" s="556" t="str">
        <f>"CLOUDBAUD CONSULTING "&amp; Summary!J5 &amp; " ONLY"</f>
        <v>CLOUDBAUD CONSULTING 2020 ONLY</v>
      </c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</row>
    <row r="2" spans="1:22" x14ac:dyDescent="0.25">
      <c r="A2" s="223" t="s">
        <v>128</v>
      </c>
      <c r="B2" s="3"/>
      <c r="C2" s="368"/>
      <c r="D2" s="3"/>
      <c r="E2" s="472"/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115</v>
      </c>
      <c r="N2" s="3" t="s">
        <v>49</v>
      </c>
      <c r="O2" s="3" t="s">
        <v>50</v>
      </c>
      <c r="P2" s="3" t="s">
        <v>51</v>
      </c>
      <c r="Q2" s="3" t="s">
        <v>52</v>
      </c>
      <c r="R2" s="15" t="s">
        <v>53</v>
      </c>
    </row>
    <row r="3" spans="1:22" x14ac:dyDescent="0.25">
      <c r="A3" s="235" t="s">
        <v>129</v>
      </c>
      <c r="B3" s="433" t="str">
        <f>'CB-17'!B3</f>
        <v>CONSULTING REVENUE</v>
      </c>
      <c r="C3" s="434">
        <f>F3</f>
        <v>0</v>
      </c>
      <c r="D3" s="435"/>
      <c r="E3" s="473"/>
      <c r="F3" s="436">
        <f t="shared" ref="F3:F58" si="0">SUM(G3:R3)</f>
        <v>0</v>
      </c>
      <c r="G3" s="437">
        <v>0</v>
      </c>
      <c r="H3" s="437"/>
      <c r="I3" s="437"/>
      <c r="J3" s="437"/>
      <c r="K3" s="437"/>
      <c r="L3" s="437"/>
      <c r="M3" s="437"/>
      <c r="N3" s="437"/>
      <c r="O3" s="437"/>
      <c r="P3" s="437"/>
      <c r="Q3" s="437"/>
      <c r="R3" s="437"/>
    </row>
    <row r="4" spans="1:22" ht="12.75" customHeight="1" x14ac:dyDescent="0.25">
      <c r="A4" s="271"/>
      <c r="B4" s="438"/>
      <c r="C4" s="296"/>
      <c r="D4" s="276"/>
      <c r="E4" s="299"/>
      <c r="F4" s="276" t="s">
        <v>58</v>
      </c>
      <c r="G4" s="277">
        <f>G3</f>
        <v>0</v>
      </c>
      <c r="H4" s="277">
        <f>G4+H3</f>
        <v>0</v>
      </c>
      <c r="I4" s="277">
        <f t="shared" ref="I4:R4" si="1">H4+I3</f>
        <v>0</v>
      </c>
      <c r="J4" s="277">
        <f t="shared" si="1"/>
        <v>0</v>
      </c>
      <c r="K4" s="277">
        <f t="shared" si="1"/>
        <v>0</v>
      </c>
      <c r="L4" s="277">
        <f t="shared" si="1"/>
        <v>0</v>
      </c>
      <c r="M4" s="277">
        <f t="shared" si="1"/>
        <v>0</v>
      </c>
      <c r="N4" s="277">
        <f t="shared" si="1"/>
        <v>0</v>
      </c>
      <c r="O4" s="277">
        <f t="shared" si="1"/>
        <v>0</v>
      </c>
      <c r="P4" s="277">
        <f t="shared" si="1"/>
        <v>0</v>
      </c>
      <c r="Q4" s="277">
        <f t="shared" si="1"/>
        <v>0</v>
      </c>
      <c r="R4" s="277">
        <f t="shared" si="1"/>
        <v>0</v>
      </c>
    </row>
    <row r="5" spans="1:22" x14ac:dyDescent="0.25">
      <c r="B5" s="439" t="str">
        <f>'CB-17'!B5</f>
        <v>TOTAL EXPENSES</v>
      </c>
      <c r="C5" s="425">
        <f>C7+C20+C27+C76+C35+C59+C45+C62+C67+C71</f>
        <v>1569.8499000000002</v>
      </c>
      <c r="D5" s="440"/>
      <c r="E5" s="474"/>
      <c r="F5" s="441">
        <f t="shared" si="0"/>
        <v>0</v>
      </c>
      <c r="G5" s="442"/>
      <c r="H5" s="442"/>
      <c r="I5" s="442"/>
      <c r="J5" s="442"/>
      <c r="K5" s="442"/>
      <c r="L5" s="442"/>
      <c r="M5" s="442"/>
      <c r="N5" s="442"/>
      <c r="O5" s="442"/>
      <c r="P5" s="442"/>
      <c r="Q5" s="442"/>
      <c r="R5" s="442"/>
    </row>
    <row r="6" spans="1:22" ht="15.75" thickBot="1" x14ac:dyDescent="0.3">
      <c r="B6" s="444" t="str">
        <f>'CB-17'!B6</f>
        <v>NET REVENUE</v>
      </c>
      <c r="C6" s="445">
        <f>C3-C5</f>
        <v>-1569.8499000000002</v>
      </c>
      <c r="D6" s="446"/>
      <c r="E6" s="475"/>
      <c r="F6" s="447"/>
      <c r="G6" s="448"/>
      <c r="H6" s="448"/>
      <c r="I6" s="448"/>
      <c r="J6" s="448"/>
      <c r="K6" s="448"/>
      <c r="L6" s="448"/>
      <c r="M6" s="448"/>
      <c r="N6" s="448"/>
      <c r="O6" s="448"/>
      <c r="P6" s="448"/>
      <c r="Q6" s="448"/>
      <c r="R6" s="448"/>
    </row>
    <row r="7" spans="1:22" ht="15.75" thickBot="1" x14ac:dyDescent="0.3">
      <c r="B7" s="378" t="str">
        <f>'CB-17'!B7</f>
        <v>UTILITIES</v>
      </c>
      <c r="C7" s="379">
        <f>SUM(C8:C19)</f>
        <v>809.10990000000004</v>
      </c>
      <c r="D7" s="380" t="s">
        <v>60</v>
      </c>
      <c r="E7" s="380" t="s">
        <v>61</v>
      </c>
      <c r="F7" s="380" t="s">
        <v>62</v>
      </c>
      <c r="G7" s="381">
        <f>SUM(H8:H14)</f>
        <v>429.71</v>
      </c>
      <c r="H7" s="381">
        <f>SUM(I8:I14)</f>
        <v>80.67</v>
      </c>
      <c r="I7" s="381">
        <f>SUM(J8:J14)</f>
        <v>450.14</v>
      </c>
      <c r="J7" s="381">
        <f>SUM(K8:K32)</f>
        <v>385.76</v>
      </c>
      <c r="K7" s="381">
        <f t="shared" ref="K7:R7" si="2">SUM(L8:L14)</f>
        <v>18.16</v>
      </c>
      <c r="L7" s="381">
        <f t="shared" si="2"/>
        <v>63.51</v>
      </c>
      <c r="M7" s="381">
        <f t="shared" si="2"/>
        <v>393.17</v>
      </c>
      <c r="N7" s="381">
        <f t="shared" si="2"/>
        <v>80.86</v>
      </c>
      <c r="O7" s="381">
        <f t="shared" si="2"/>
        <v>546.34</v>
      </c>
      <c r="P7" s="381">
        <f t="shared" si="2"/>
        <v>543.77</v>
      </c>
      <c r="Q7" s="381">
        <f t="shared" si="2"/>
        <v>81.38</v>
      </c>
      <c r="R7" s="382">
        <f t="shared" si="2"/>
        <v>0</v>
      </c>
      <c r="T7">
        <v>3048</v>
      </c>
      <c r="U7">
        <v>320.02999999999997</v>
      </c>
      <c r="V7" s="215">
        <v>45066</v>
      </c>
    </row>
    <row r="8" spans="1:22" ht="15.75" x14ac:dyDescent="0.25">
      <c r="A8" s="235" t="s">
        <v>130</v>
      </c>
      <c r="B8" s="399" t="str">
        <f>'CB-17'!B8</f>
        <v>Electricity</v>
      </c>
      <c r="C8" s="372">
        <f>D8</f>
        <v>48.820600000000006</v>
      </c>
      <c r="D8" s="373">
        <f t="shared" ref="D8:D60" si="3">E8*F8</f>
        <v>48.820600000000006</v>
      </c>
      <c r="E8" s="374">
        <f>'CB-17'!E8</f>
        <v>0.17</v>
      </c>
      <c r="F8" s="450">
        <f t="shared" si="0"/>
        <v>287.18</v>
      </c>
      <c r="G8" s="451"/>
      <c r="H8" s="451"/>
      <c r="I8" s="451"/>
      <c r="J8" s="451"/>
      <c r="K8" s="451"/>
      <c r="L8" s="451"/>
      <c r="M8" s="451"/>
      <c r="N8" s="451"/>
      <c r="O8" s="451"/>
      <c r="P8" s="452">
        <v>123.52</v>
      </c>
      <c r="Q8" s="452">
        <v>163.66</v>
      </c>
      <c r="R8" s="452"/>
    </row>
    <row r="9" spans="1:22" x14ac:dyDescent="0.25">
      <c r="A9" s="235" t="s">
        <v>131</v>
      </c>
      <c r="B9" s="272" t="str">
        <f>'CB-17'!B9</f>
        <v>Waste &amp; Recycle</v>
      </c>
      <c r="C9" s="361">
        <f t="shared" ref="C9:C19" si="4">D9</f>
        <v>55.178600000000003</v>
      </c>
      <c r="D9" s="373">
        <f t="shared" si="3"/>
        <v>55.178600000000003</v>
      </c>
      <c r="E9" s="274">
        <f>'CB-17'!E9</f>
        <v>0.17</v>
      </c>
      <c r="F9" s="441">
        <f t="shared" si="0"/>
        <v>324.58</v>
      </c>
      <c r="G9" s="115"/>
      <c r="H9" s="115"/>
      <c r="I9" s="115">
        <v>80.67</v>
      </c>
      <c r="J9" s="115"/>
      <c r="K9" s="115"/>
      <c r="L9" s="115">
        <v>18.16</v>
      </c>
      <c r="M9" s="115">
        <v>63.51</v>
      </c>
      <c r="N9" s="115"/>
      <c r="O9" s="115">
        <v>80.86</v>
      </c>
      <c r="P9" s="115"/>
      <c r="Q9" s="115"/>
      <c r="R9" s="115">
        <v>81.38</v>
      </c>
    </row>
    <row r="10" spans="1:22" x14ac:dyDescent="0.25">
      <c r="A10" s="235" t="s">
        <v>131</v>
      </c>
      <c r="B10" s="272" t="str">
        <f>'CB-17'!B10</f>
        <v>Water &amp; Sewer</v>
      </c>
      <c r="C10" s="361">
        <f t="shared" si="4"/>
        <v>418.49070000000006</v>
      </c>
      <c r="D10" s="373">
        <f t="shared" si="3"/>
        <v>418.49070000000006</v>
      </c>
      <c r="E10" s="274">
        <f>'CB-17'!E10</f>
        <v>0.17</v>
      </c>
      <c r="F10" s="441">
        <f t="shared" si="0"/>
        <v>2461.71</v>
      </c>
      <c r="G10" s="115"/>
      <c r="H10" s="115">
        <v>429.71</v>
      </c>
      <c r="I10" s="115"/>
      <c r="J10" s="443">
        <v>450.14</v>
      </c>
      <c r="K10" s="443">
        <v>385.76</v>
      </c>
      <c r="L10" s="443"/>
      <c r="M10" s="115"/>
      <c r="N10" s="443">
        <v>393.17</v>
      </c>
      <c r="O10" s="115"/>
      <c r="P10" s="443">
        <v>422.82</v>
      </c>
      <c r="Q10" s="443">
        <v>380.11</v>
      </c>
      <c r="R10" s="115"/>
    </row>
    <row r="11" spans="1:22" x14ac:dyDescent="0.25">
      <c r="A11" s="235" t="s">
        <v>132</v>
      </c>
      <c r="B11" s="272" t="str">
        <f>'CB-17'!B11</f>
        <v>Security</v>
      </c>
      <c r="C11" s="361">
        <f t="shared" si="4"/>
        <v>0</v>
      </c>
      <c r="D11" s="373">
        <f t="shared" si="3"/>
        <v>0</v>
      </c>
      <c r="E11" s="274">
        <f>'CB-17'!E11</f>
        <v>0.17</v>
      </c>
      <c r="F11" s="441">
        <f t="shared" si="0"/>
        <v>0</v>
      </c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</row>
    <row r="12" spans="1:22" x14ac:dyDescent="0.25">
      <c r="A12" s="235" t="s">
        <v>133</v>
      </c>
      <c r="B12" s="272" t="str">
        <f>'CB-17'!B12</f>
        <v>Landscaping</v>
      </c>
      <c r="C12" s="361">
        <f t="shared" si="4"/>
        <v>0</v>
      </c>
      <c r="D12" s="373">
        <f t="shared" si="3"/>
        <v>0</v>
      </c>
      <c r="E12" s="274">
        <f>'CB-17'!E12</f>
        <v>0.17</v>
      </c>
      <c r="F12" s="441">
        <f t="shared" si="0"/>
        <v>0</v>
      </c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</row>
    <row r="13" spans="1:22" x14ac:dyDescent="0.25">
      <c r="B13" s="272" t="str">
        <f>'CB-17'!B13</f>
        <v>Home Owners Insurance</v>
      </c>
      <c r="C13" s="361">
        <f t="shared" si="4"/>
        <v>286.62</v>
      </c>
      <c r="D13" s="373">
        <f t="shared" si="3"/>
        <v>286.62</v>
      </c>
      <c r="E13" s="274">
        <f>'CB-17'!E13</f>
        <v>0.17</v>
      </c>
      <c r="F13" s="441">
        <f>'Home Insurance'!I13</f>
        <v>1686</v>
      </c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</row>
    <row r="14" spans="1:22" x14ac:dyDescent="0.25">
      <c r="A14" t="str">
        <f>'CB-17'!A14</f>
        <v>CCMSEARS</v>
      </c>
      <c r="B14" s="272" t="str">
        <f>'CB-17'!B14</f>
        <v>Appliance Maintenance</v>
      </c>
      <c r="C14" s="361">
        <f t="shared" si="4"/>
        <v>0</v>
      </c>
      <c r="D14" s="373">
        <f t="shared" si="3"/>
        <v>0</v>
      </c>
      <c r="E14" s="274">
        <f>'CB-17'!E14</f>
        <v>0.5</v>
      </c>
      <c r="F14" s="441">
        <f>'Home Insurance'!I14</f>
        <v>0</v>
      </c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</row>
    <row r="15" spans="1:22" x14ac:dyDescent="0.25">
      <c r="B15" s="272" t="str">
        <f>'CB-17'!B15</f>
        <v>Apple Warranty</v>
      </c>
      <c r="C15" s="361">
        <f t="shared" si="4"/>
        <v>0</v>
      </c>
      <c r="D15" s="373">
        <f t="shared" si="3"/>
        <v>0</v>
      </c>
      <c r="E15" s="274">
        <f>'CB-17'!E15</f>
        <v>0.5</v>
      </c>
      <c r="F15" s="441">
        <f>'Home Insurance'!I15</f>
        <v>0</v>
      </c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</row>
    <row r="16" spans="1:22" x14ac:dyDescent="0.25">
      <c r="B16" s="272" t="str">
        <f>'CB-17'!B16</f>
        <v>Computers Warranty</v>
      </c>
      <c r="C16" s="361">
        <f t="shared" si="4"/>
        <v>0</v>
      </c>
      <c r="D16" s="373">
        <f t="shared" si="3"/>
        <v>0</v>
      </c>
      <c r="E16" s="274">
        <f>'CB-17'!E16</f>
        <v>0.5</v>
      </c>
      <c r="F16" s="441">
        <f>'Home Insurance'!I16</f>
        <v>0</v>
      </c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</row>
    <row r="17" spans="1:18" x14ac:dyDescent="0.25">
      <c r="A17" t="s">
        <v>134</v>
      </c>
      <c r="B17" s="272" t="str">
        <f>'CB-17'!B17</f>
        <v>Cellular Service</v>
      </c>
      <c r="C17" s="361">
        <f t="shared" si="4"/>
        <v>0</v>
      </c>
      <c r="D17" s="373">
        <f t="shared" si="3"/>
        <v>0</v>
      </c>
      <c r="E17" s="274">
        <f>'CB-17'!E17</f>
        <v>0.5</v>
      </c>
      <c r="F17" s="441">
        <f>'Home Insurance'!I17</f>
        <v>0</v>
      </c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</row>
    <row r="18" spans="1:18" x14ac:dyDescent="0.25">
      <c r="A18" t="s">
        <v>135</v>
      </c>
      <c r="B18" s="272" t="str">
        <f>'CB-17'!B18</f>
        <v>Broadband</v>
      </c>
      <c r="C18" s="361">
        <f t="shared" si="4"/>
        <v>0</v>
      </c>
      <c r="D18" s="373">
        <f t="shared" si="3"/>
        <v>0</v>
      </c>
      <c r="E18" s="274">
        <f>'CB-17'!E18</f>
        <v>0.5</v>
      </c>
      <c r="F18" s="441">
        <f>'Home Insurance'!I18</f>
        <v>0</v>
      </c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</row>
    <row r="19" spans="1:18" ht="15.75" thickBot="1" x14ac:dyDescent="0.3">
      <c r="B19" s="406" t="str">
        <f>'CB-17'!B19</f>
        <v>TV Cable</v>
      </c>
      <c r="C19" s="383">
        <f t="shared" si="4"/>
        <v>0</v>
      </c>
      <c r="D19" s="373">
        <f t="shared" si="3"/>
        <v>0</v>
      </c>
      <c r="E19" s="314">
        <f>'CB-17'!E19</f>
        <v>0.5</v>
      </c>
      <c r="F19" s="441">
        <f>'Home Insurance'!I19</f>
        <v>0</v>
      </c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</row>
    <row r="20" spans="1:18" ht="15.75" thickBot="1" x14ac:dyDescent="0.3">
      <c r="B20" s="378" t="str">
        <f>'CB-17'!B20</f>
        <v>DEPRECIABLE ASSETS</v>
      </c>
      <c r="C20" s="461">
        <f>SUM(C21:C26)</f>
        <v>0</v>
      </c>
      <c r="D20" s="380" t="s">
        <v>60</v>
      </c>
      <c r="E20" s="380" t="s">
        <v>61</v>
      </c>
      <c r="F20" s="380" t="s">
        <v>62</v>
      </c>
      <c r="G20" s="381">
        <f>SUM(G21:G26)</f>
        <v>0</v>
      </c>
      <c r="H20" s="381">
        <f t="shared" ref="H20:R20" si="5">SUM(H21:H26)</f>
        <v>0</v>
      </c>
      <c r="I20" s="381">
        <f t="shared" si="5"/>
        <v>0</v>
      </c>
      <c r="J20" s="381">
        <f t="shared" si="5"/>
        <v>0</v>
      </c>
      <c r="K20" s="381">
        <f t="shared" si="5"/>
        <v>0</v>
      </c>
      <c r="L20" s="381">
        <f t="shared" si="5"/>
        <v>0</v>
      </c>
      <c r="M20" s="381">
        <f t="shared" si="5"/>
        <v>0</v>
      </c>
      <c r="N20" s="381">
        <f t="shared" si="5"/>
        <v>0</v>
      </c>
      <c r="O20" s="381">
        <f t="shared" si="5"/>
        <v>0</v>
      </c>
      <c r="P20" s="381">
        <f t="shared" si="5"/>
        <v>0</v>
      </c>
      <c r="Q20" s="381">
        <f t="shared" si="5"/>
        <v>0</v>
      </c>
      <c r="R20" s="381">
        <f t="shared" si="5"/>
        <v>0</v>
      </c>
    </row>
    <row r="21" spans="1:18" x14ac:dyDescent="0.25">
      <c r="B21" s="399" t="str">
        <f>'CB-17'!B21</f>
        <v>ASUS Laptop</v>
      </c>
      <c r="C21" s="449">
        <f>D21</f>
        <v>0</v>
      </c>
      <c r="D21" s="373">
        <f t="shared" si="3"/>
        <v>0</v>
      </c>
      <c r="E21" s="374">
        <f>'CB-17'!E21</f>
        <v>0.5</v>
      </c>
      <c r="F21" s="441">
        <f t="shared" si="0"/>
        <v>0</v>
      </c>
      <c r="G21" s="451"/>
      <c r="H21" s="451"/>
      <c r="I21" s="451"/>
      <c r="J21" s="451"/>
      <c r="K21" s="451"/>
      <c r="L21" s="451"/>
      <c r="M21" s="451"/>
      <c r="N21" s="451"/>
      <c r="O21" s="451"/>
      <c r="P21" s="451"/>
      <c r="Q21" s="451"/>
      <c r="R21" s="451"/>
    </row>
    <row r="22" spans="1:18" x14ac:dyDescent="0.25">
      <c r="A22" s="235"/>
      <c r="B22" s="272" t="str">
        <f>'CB-17'!B22</f>
        <v>Mobile Device (samsung)</v>
      </c>
      <c r="C22" s="449">
        <f t="shared" ref="C22:C26" si="6">D22</f>
        <v>0</v>
      </c>
      <c r="D22" s="373">
        <f t="shared" si="3"/>
        <v>0</v>
      </c>
      <c r="E22" s="274">
        <f>'CB-17'!E22</f>
        <v>0.5</v>
      </c>
      <c r="F22" s="441">
        <f t="shared" si="0"/>
        <v>0</v>
      </c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</row>
    <row r="23" spans="1:18" x14ac:dyDescent="0.25">
      <c r="B23" s="295" t="str">
        <f>'CB-17'!B23</f>
        <v>Cellphone Device</v>
      </c>
      <c r="C23" s="449">
        <f t="shared" si="6"/>
        <v>0</v>
      </c>
      <c r="D23" s="373">
        <f t="shared" si="3"/>
        <v>0</v>
      </c>
      <c r="E23" s="274">
        <f>'CB-17'!E23</f>
        <v>0.5</v>
      </c>
      <c r="F23" s="441">
        <f t="shared" si="0"/>
        <v>0</v>
      </c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</row>
    <row r="24" spans="1:18" x14ac:dyDescent="0.25">
      <c r="B24" s="272" t="str">
        <f>'CB-17'!B24</f>
        <v>Supplies</v>
      </c>
      <c r="C24" s="449">
        <f t="shared" si="6"/>
        <v>0</v>
      </c>
      <c r="D24" s="373">
        <f t="shared" si="3"/>
        <v>0</v>
      </c>
      <c r="E24" s="274">
        <f>'CB-17'!E24</f>
        <v>1</v>
      </c>
      <c r="F24" s="441">
        <f t="shared" si="0"/>
        <v>0</v>
      </c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</row>
    <row r="25" spans="1:18" x14ac:dyDescent="0.25">
      <c r="B25" s="272" t="str">
        <f>'CB-17'!B25</f>
        <v>Stationaries</v>
      </c>
      <c r="C25" s="449">
        <f t="shared" si="6"/>
        <v>0</v>
      </c>
      <c r="D25" s="373">
        <f t="shared" si="3"/>
        <v>0</v>
      </c>
      <c r="E25" s="274">
        <f>'CB-17'!E25</f>
        <v>1</v>
      </c>
      <c r="F25" s="441">
        <f t="shared" si="0"/>
        <v>0</v>
      </c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</row>
    <row r="26" spans="1:18" ht="15.75" thickBot="1" x14ac:dyDescent="0.3">
      <c r="B26" s="406" t="str">
        <f>'CB-17'!B26</f>
        <v>Books</v>
      </c>
      <c r="C26" s="449">
        <f t="shared" si="6"/>
        <v>0</v>
      </c>
      <c r="D26" s="373">
        <f t="shared" si="3"/>
        <v>0</v>
      </c>
      <c r="E26" s="314">
        <f>'CB-17'!E26</f>
        <v>1</v>
      </c>
      <c r="F26" s="441">
        <f t="shared" si="0"/>
        <v>0</v>
      </c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</row>
    <row r="27" spans="1:18" ht="15.75" thickBot="1" x14ac:dyDescent="0.3">
      <c r="B27" s="378" t="str">
        <f>'CB-17'!B27</f>
        <v>GOVERNMENT FEES</v>
      </c>
      <c r="C27" s="461">
        <f>SUM(C28:C34)</f>
        <v>197.22</v>
      </c>
      <c r="D27" s="380" t="s">
        <v>60</v>
      </c>
      <c r="E27" s="380" t="s">
        <v>61</v>
      </c>
      <c r="F27" s="380" t="s">
        <v>62</v>
      </c>
      <c r="G27" s="380"/>
      <c r="H27" s="380"/>
      <c r="I27" s="380"/>
      <c r="J27" s="380"/>
      <c r="K27" s="380"/>
      <c r="L27" s="380"/>
      <c r="M27" s="380"/>
      <c r="N27" s="380"/>
      <c r="O27" s="380"/>
      <c r="P27" s="380"/>
      <c r="Q27" s="380"/>
      <c r="R27" s="387"/>
    </row>
    <row r="28" spans="1:18" x14ac:dyDescent="0.25">
      <c r="A28" t="s">
        <v>136</v>
      </c>
      <c r="B28" s="399" t="str">
        <f>'CB-17'!B28</f>
        <v>Biz Registration</v>
      </c>
      <c r="C28" s="449">
        <f>D28</f>
        <v>0</v>
      </c>
      <c r="D28" s="373">
        <f t="shared" si="3"/>
        <v>0</v>
      </c>
      <c r="E28" s="374">
        <f>'CB-17'!E28</f>
        <v>1</v>
      </c>
      <c r="F28" s="450">
        <f t="shared" si="0"/>
        <v>0</v>
      </c>
      <c r="G28" s="451"/>
      <c r="H28" s="451"/>
      <c r="I28" s="451"/>
      <c r="J28" s="451"/>
      <c r="K28" s="451"/>
      <c r="L28" s="451"/>
      <c r="M28" s="451"/>
      <c r="N28" s="451"/>
      <c r="O28" s="451"/>
      <c r="P28" s="451"/>
      <c r="Q28" s="451"/>
      <c r="R28" s="451"/>
    </row>
    <row r="29" spans="1:18" x14ac:dyDescent="0.25">
      <c r="B29" s="272" t="str">
        <f>'CB-17'!B29</f>
        <v>Licensing</v>
      </c>
      <c r="C29" s="449">
        <f t="shared" ref="C29:C44" si="7">D29</f>
        <v>157.22</v>
      </c>
      <c r="D29" s="373">
        <f t="shared" si="3"/>
        <v>157.22</v>
      </c>
      <c r="E29" s="274">
        <f>'CB-17'!E29</f>
        <v>1</v>
      </c>
      <c r="F29" s="441">
        <f t="shared" si="0"/>
        <v>157.22</v>
      </c>
      <c r="G29" s="115">
        <v>157.22</v>
      </c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</row>
    <row r="30" spans="1:18" x14ac:dyDescent="0.25">
      <c r="B30" s="272" t="str">
        <f>'CB-17'!B30</f>
        <v>WA DOR Excise Tax</v>
      </c>
      <c r="C30" s="449">
        <f t="shared" si="7"/>
        <v>0</v>
      </c>
      <c r="D30" s="373">
        <f t="shared" si="3"/>
        <v>0</v>
      </c>
      <c r="E30" s="274">
        <f>'CB-17'!E30</f>
        <v>1</v>
      </c>
      <c r="F30" s="441">
        <f t="shared" si="0"/>
        <v>0</v>
      </c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</row>
    <row r="31" spans="1:18" x14ac:dyDescent="0.25">
      <c r="B31" s="272" t="str">
        <f>'CB-17'!B31</f>
        <v>Garnishment Fee</v>
      </c>
      <c r="C31" s="449">
        <f t="shared" si="7"/>
        <v>0</v>
      </c>
      <c r="D31" s="373">
        <f t="shared" si="3"/>
        <v>0</v>
      </c>
      <c r="E31" s="274">
        <f>'CB-17'!E31</f>
        <v>1</v>
      </c>
      <c r="F31" s="441">
        <f t="shared" si="0"/>
        <v>0</v>
      </c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</row>
    <row r="32" spans="1:18" x14ac:dyDescent="0.25">
      <c r="B32" s="272" t="str">
        <f>'CB-17'!B32</f>
        <v>LNI Insurance</v>
      </c>
      <c r="C32" s="449">
        <f t="shared" si="7"/>
        <v>40</v>
      </c>
      <c r="D32" s="373">
        <f t="shared" si="3"/>
        <v>40</v>
      </c>
      <c r="E32" s="274">
        <f>'CB-17'!E32</f>
        <v>1</v>
      </c>
      <c r="F32" s="441">
        <f t="shared" si="0"/>
        <v>40</v>
      </c>
      <c r="G32" s="115"/>
      <c r="H32" s="115"/>
      <c r="I32" s="115">
        <v>40</v>
      </c>
      <c r="J32" s="115"/>
      <c r="K32" s="115"/>
      <c r="L32" s="115"/>
      <c r="M32" s="115"/>
      <c r="N32" s="115"/>
      <c r="O32" s="115"/>
      <c r="P32" s="115"/>
      <c r="Q32" s="115"/>
      <c r="R32" s="115"/>
    </row>
    <row r="33" spans="2:18" x14ac:dyDescent="0.25">
      <c r="B33" s="272" t="str">
        <f>'CB-17'!B33</f>
        <v>WA Employment Security</v>
      </c>
      <c r="C33" s="449">
        <f t="shared" si="7"/>
        <v>0</v>
      </c>
      <c r="D33" s="373">
        <f t="shared" si="3"/>
        <v>0</v>
      </c>
      <c r="E33" s="274">
        <f>'CB-17'!E33</f>
        <v>1</v>
      </c>
      <c r="F33" s="441">
        <f t="shared" si="0"/>
        <v>0</v>
      </c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</row>
    <row r="34" spans="2:18" ht="15.75" thickBot="1" x14ac:dyDescent="0.3">
      <c r="B34" s="406" t="str">
        <f>'CB-17'!B34</f>
        <v>Commercial Insurance</v>
      </c>
      <c r="C34" s="449">
        <f t="shared" si="7"/>
        <v>0</v>
      </c>
      <c r="D34" s="373">
        <f t="shared" si="3"/>
        <v>0</v>
      </c>
      <c r="E34" s="314">
        <f>'CB-17'!E34</f>
        <v>1</v>
      </c>
      <c r="F34" s="447">
        <f t="shared" si="0"/>
        <v>0</v>
      </c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</row>
    <row r="35" spans="2:18" ht="15.75" thickBot="1" x14ac:dyDescent="0.3">
      <c r="B35" s="378" t="s">
        <v>137</v>
      </c>
      <c r="C35" s="461">
        <f>SUM(C36:C44)</f>
        <v>277</v>
      </c>
      <c r="D35" s="380" t="s">
        <v>60</v>
      </c>
      <c r="E35" s="380" t="s">
        <v>61</v>
      </c>
      <c r="F35" s="380" t="s">
        <v>62</v>
      </c>
      <c r="G35" s="462"/>
      <c r="H35" s="462"/>
      <c r="I35" s="462"/>
      <c r="J35" s="462"/>
      <c r="K35" s="462"/>
      <c r="L35" s="462"/>
      <c r="M35" s="462"/>
      <c r="N35" s="462"/>
      <c r="O35" s="462"/>
      <c r="P35" s="462"/>
      <c r="Q35" s="462"/>
      <c r="R35" s="463"/>
    </row>
    <row r="36" spans="2:18" x14ac:dyDescent="0.25">
      <c r="B36" s="399" t="str">
        <f>'CB-17'!B36</f>
        <v>Web Domains</v>
      </c>
      <c r="C36" s="449">
        <f t="shared" si="7"/>
        <v>0</v>
      </c>
      <c r="D36" s="373">
        <f t="shared" si="3"/>
        <v>0</v>
      </c>
      <c r="E36" s="374">
        <f>'CB-17'!E36</f>
        <v>1</v>
      </c>
      <c r="F36" s="441">
        <f t="shared" si="0"/>
        <v>0</v>
      </c>
      <c r="G36" s="451"/>
      <c r="H36" s="451"/>
      <c r="I36" s="451"/>
      <c r="J36" s="451"/>
      <c r="K36" s="451"/>
      <c r="L36" s="451"/>
      <c r="M36" s="451"/>
      <c r="N36" s="451"/>
      <c r="O36" s="451"/>
      <c r="P36" s="451"/>
      <c r="Q36" s="451"/>
      <c r="R36" s="451"/>
    </row>
    <row r="37" spans="2:18" x14ac:dyDescent="0.25">
      <c r="B37" s="272" t="str">
        <f>'CB-17'!B37</f>
        <v>Web Hosting</v>
      </c>
      <c r="C37" s="449">
        <f t="shared" si="7"/>
        <v>0</v>
      </c>
      <c r="D37" s="373">
        <f t="shared" si="3"/>
        <v>0</v>
      </c>
      <c r="E37" s="274">
        <f>'CB-17'!E37</f>
        <v>1</v>
      </c>
      <c r="F37" s="441">
        <f t="shared" si="0"/>
        <v>0</v>
      </c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</row>
    <row r="38" spans="2:18" x14ac:dyDescent="0.25">
      <c r="B38" s="272" t="str">
        <f>'CB-17'!B38</f>
        <v>Digital Ads</v>
      </c>
      <c r="C38" s="449">
        <f t="shared" si="7"/>
        <v>0</v>
      </c>
      <c r="D38" s="373">
        <f t="shared" si="3"/>
        <v>0</v>
      </c>
      <c r="E38" s="274">
        <f>'CB-17'!E38</f>
        <v>1</v>
      </c>
      <c r="F38" s="441">
        <f t="shared" si="0"/>
        <v>0</v>
      </c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</row>
    <row r="39" spans="2:18" x14ac:dyDescent="0.25">
      <c r="B39" s="272" t="str">
        <f>'CB-17'!B39</f>
        <v>Logo Services</v>
      </c>
      <c r="C39" s="449">
        <f t="shared" si="7"/>
        <v>0</v>
      </c>
      <c r="D39" s="373">
        <f t="shared" si="3"/>
        <v>0</v>
      </c>
      <c r="E39" s="274">
        <f>'CB-17'!E39</f>
        <v>1</v>
      </c>
      <c r="F39" s="441">
        <f t="shared" si="0"/>
        <v>0</v>
      </c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</row>
    <row r="40" spans="2:18" x14ac:dyDescent="0.25">
      <c r="B40" s="272" t="str">
        <f>'CB-17'!B40</f>
        <v>Temp Services</v>
      </c>
      <c r="C40" s="449">
        <f t="shared" si="7"/>
        <v>0</v>
      </c>
      <c r="D40" s="373">
        <f t="shared" si="3"/>
        <v>0</v>
      </c>
      <c r="E40" s="274">
        <f>'CB-17'!E40</f>
        <v>1</v>
      </c>
      <c r="F40" s="441">
        <f t="shared" si="0"/>
        <v>0</v>
      </c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</row>
    <row r="41" spans="2:18" x14ac:dyDescent="0.25">
      <c r="B41" s="272" t="str">
        <f>'CB-17'!B41</f>
        <v>Professional Services</v>
      </c>
      <c r="C41" s="449">
        <f t="shared" si="7"/>
        <v>0</v>
      </c>
      <c r="D41" s="373">
        <f t="shared" si="3"/>
        <v>0</v>
      </c>
      <c r="E41" s="274">
        <f>'CB-17'!E41</f>
        <v>1</v>
      </c>
      <c r="F41" s="441">
        <f t="shared" si="0"/>
        <v>0</v>
      </c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</row>
    <row r="42" spans="2:18" x14ac:dyDescent="0.25">
      <c r="B42" s="272" t="str">
        <f>'CB-17'!B42</f>
        <v>Bank Fees</v>
      </c>
      <c r="C42" s="449">
        <f t="shared" si="7"/>
        <v>160</v>
      </c>
      <c r="D42" s="373">
        <f t="shared" si="3"/>
        <v>160</v>
      </c>
      <c r="E42" s="274">
        <f>'CB-17'!E42</f>
        <v>1</v>
      </c>
      <c r="F42" s="441">
        <f t="shared" si="0"/>
        <v>160</v>
      </c>
      <c r="G42" s="115">
        <f>35+125</f>
        <v>160</v>
      </c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</row>
    <row r="43" spans="2:18" x14ac:dyDescent="0.25">
      <c r="B43" s="272" t="str">
        <f>'CB-17'!B43</f>
        <v>Legal Membership</v>
      </c>
      <c r="C43" s="449">
        <f t="shared" si="7"/>
        <v>117</v>
      </c>
      <c r="D43" s="373">
        <f t="shared" si="3"/>
        <v>117</v>
      </c>
      <c r="E43" s="274">
        <f>'CB-17'!E43</f>
        <v>1</v>
      </c>
      <c r="F43" s="441">
        <f t="shared" si="0"/>
        <v>117</v>
      </c>
      <c r="G43" s="115">
        <f>39+39</f>
        <v>78</v>
      </c>
      <c r="H43" s="115"/>
      <c r="I43" s="115">
        <v>39</v>
      </c>
      <c r="J43" s="115"/>
      <c r="K43" s="115"/>
      <c r="L43" s="115"/>
      <c r="M43" s="115"/>
      <c r="N43" s="115"/>
      <c r="O43" s="115"/>
      <c r="P43" s="115"/>
      <c r="Q43" s="115"/>
      <c r="R43" s="115"/>
    </row>
    <row r="44" spans="2:18" ht="15.75" thickBot="1" x14ac:dyDescent="0.3">
      <c r="B44" s="406" t="str">
        <f>'CB-17'!B44</f>
        <v>Business Insurance</v>
      </c>
      <c r="C44" s="449">
        <f t="shared" si="7"/>
        <v>0</v>
      </c>
      <c r="D44" s="373">
        <f t="shared" si="3"/>
        <v>0</v>
      </c>
      <c r="E44" s="314">
        <f>'CB-17'!E44</f>
        <v>1</v>
      </c>
      <c r="F44" s="441">
        <f t="shared" si="0"/>
        <v>0</v>
      </c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</row>
    <row r="45" spans="2:18" ht="15.75" thickBot="1" x14ac:dyDescent="0.3">
      <c r="B45" s="378" t="s">
        <v>114</v>
      </c>
      <c r="C45" s="461">
        <f>SUM(C46:C58)</f>
        <v>286.52</v>
      </c>
      <c r="D45" s="380" t="s">
        <v>60</v>
      </c>
      <c r="E45" s="380" t="s">
        <v>61</v>
      </c>
      <c r="F45" s="380" t="s">
        <v>62</v>
      </c>
      <c r="G45" s="462"/>
      <c r="H45" s="462"/>
      <c r="I45" s="462"/>
      <c r="J45" s="462"/>
      <c r="K45" s="462"/>
      <c r="L45" s="462"/>
      <c r="M45" s="462"/>
      <c r="N45" s="462"/>
      <c r="O45" s="462"/>
      <c r="P45" s="462"/>
      <c r="Q45" s="462"/>
      <c r="R45" s="463"/>
    </row>
    <row r="46" spans="2:18" x14ac:dyDescent="0.25">
      <c r="B46" s="399" t="str">
        <f>'CB-17'!B46</f>
        <v>Apple.com</v>
      </c>
      <c r="C46" s="449">
        <f>D46</f>
        <v>0</v>
      </c>
      <c r="D46" s="373">
        <f t="shared" si="3"/>
        <v>0</v>
      </c>
      <c r="E46" s="374">
        <f>'CB-17'!E46</f>
        <v>0.5</v>
      </c>
      <c r="F46" s="441">
        <f t="shared" si="0"/>
        <v>0</v>
      </c>
      <c r="G46" s="451"/>
      <c r="H46" s="451"/>
      <c r="I46" s="451"/>
      <c r="J46" s="451"/>
      <c r="K46" s="451"/>
      <c r="L46" s="451"/>
      <c r="M46" s="451"/>
      <c r="N46" s="451"/>
      <c r="O46" s="451"/>
      <c r="P46" s="451"/>
      <c r="Q46" s="451"/>
      <c r="R46" s="451"/>
    </row>
    <row r="47" spans="2:18" x14ac:dyDescent="0.25">
      <c r="B47" s="272" t="str">
        <f>'CB-17'!B47</f>
        <v>Audible.com</v>
      </c>
      <c r="C47" s="449">
        <f t="shared" ref="C47:C60" si="8">D47</f>
        <v>0</v>
      </c>
      <c r="D47" s="373">
        <f t="shared" si="3"/>
        <v>0</v>
      </c>
      <c r="E47" s="274">
        <f>'CB-17'!E47</f>
        <v>1</v>
      </c>
      <c r="F47" s="441">
        <f t="shared" si="0"/>
        <v>0</v>
      </c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</row>
    <row r="48" spans="2:18" x14ac:dyDescent="0.25">
      <c r="B48" s="272" t="str">
        <f>'CB-17'!B48</f>
        <v>Amazon</v>
      </c>
      <c r="C48" s="449">
        <f t="shared" si="8"/>
        <v>0</v>
      </c>
      <c r="D48" s="373">
        <f t="shared" si="3"/>
        <v>0</v>
      </c>
      <c r="E48" s="274">
        <f>'CB-17'!E48</f>
        <v>0.5</v>
      </c>
      <c r="F48" s="441">
        <f t="shared" si="0"/>
        <v>0</v>
      </c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</row>
    <row r="49" spans="2:18" x14ac:dyDescent="0.25">
      <c r="B49" s="272" t="str">
        <f>'CB-17'!B49</f>
        <v>Cloud Academy</v>
      </c>
      <c r="C49" s="449">
        <f t="shared" si="8"/>
        <v>179</v>
      </c>
      <c r="D49" s="373">
        <f t="shared" si="3"/>
        <v>179</v>
      </c>
      <c r="E49" s="274">
        <f>'CB-17'!E49</f>
        <v>1</v>
      </c>
      <c r="F49" s="441">
        <f t="shared" si="0"/>
        <v>179</v>
      </c>
      <c r="G49" s="115">
        <v>179</v>
      </c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</row>
    <row r="50" spans="2:18" x14ac:dyDescent="0.25">
      <c r="B50" s="272" t="str">
        <f>'CB-17'!B50</f>
        <v>Packt</v>
      </c>
      <c r="C50" s="449">
        <f t="shared" si="8"/>
        <v>0</v>
      </c>
      <c r="D50" s="373">
        <f t="shared" si="3"/>
        <v>0</v>
      </c>
      <c r="E50" s="274">
        <f>'CB-17'!E50</f>
        <v>1</v>
      </c>
      <c r="F50" s="441">
        <f t="shared" si="0"/>
        <v>0</v>
      </c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</row>
    <row r="51" spans="2:18" x14ac:dyDescent="0.25">
      <c r="B51" s="272" t="str">
        <f>'CB-17'!B51</f>
        <v>Pluralsight</v>
      </c>
      <c r="C51" s="449">
        <f t="shared" si="8"/>
        <v>0</v>
      </c>
      <c r="D51" s="373">
        <f t="shared" si="3"/>
        <v>0</v>
      </c>
      <c r="E51" s="274">
        <f>'CB-17'!E51</f>
        <v>1</v>
      </c>
      <c r="F51" s="441">
        <f t="shared" si="0"/>
        <v>0</v>
      </c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</row>
    <row r="52" spans="2:18" x14ac:dyDescent="0.25">
      <c r="B52" s="272" t="str">
        <f>'CB-17'!B52</f>
        <v>Linux Academy</v>
      </c>
      <c r="C52" s="449">
        <f t="shared" si="8"/>
        <v>0</v>
      </c>
      <c r="D52" s="373">
        <f t="shared" si="3"/>
        <v>0</v>
      </c>
      <c r="E52" s="274">
        <f>'CB-17'!E52</f>
        <v>1</v>
      </c>
      <c r="F52" s="441">
        <f t="shared" si="0"/>
        <v>0</v>
      </c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</row>
    <row r="53" spans="2:18" x14ac:dyDescent="0.25">
      <c r="B53" s="272" t="str">
        <f>'CB-17'!B53</f>
        <v>Adobe</v>
      </c>
      <c r="C53" s="449">
        <f t="shared" si="8"/>
        <v>0</v>
      </c>
      <c r="D53" s="373">
        <f t="shared" si="3"/>
        <v>0</v>
      </c>
      <c r="E53" s="274">
        <f>'CB-17'!E53</f>
        <v>1</v>
      </c>
      <c r="F53" s="441">
        <f t="shared" si="0"/>
        <v>0</v>
      </c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</row>
    <row r="54" spans="2:18" x14ac:dyDescent="0.25">
      <c r="B54" s="272" t="str">
        <f>'CB-17'!B54</f>
        <v>O365</v>
      </c>
      <c r="C54" s="449">
        <f t="shared" si="8"/>
        <v>8.52</v>
      </c>
      <c r="D54" s="373">
        <f t="shared" si="3"/>
        <v>8.52</v>
      </c>
      <c r="E54" s="274">
        <f>'CB-17'!E54</f>
        <v>1</v>
      </c>
      <c r="F54" s="441">
        <f t="shared" si="0"/>
        <v>8.52</v>
      </c>
      <c r="G54" s="115">
        <v>3.01</v>
      </c>
      <c r="H54" s="115">
        <v>5.51</v>
      </c>
      <c r="I54" s="115"/>
      <c r="J54" s="115"/>
      <c r="K54" s="115"/>
      <c r="L54" s="115"/>
      <c r="M54" s="115"/>
      <c r="N54" s="115"/>
      <c r="O54" s="115"/>
      <c r="P54" s="115"/>
      <c r="Q54" s="115"/>
      <c r="R54" s="115"/>
    </row>
    <row r="55" spans="2:18" x14ac:dyDescent="0.25">
      <c r="B55" s="272" t="str">
        <f>'CB-17'!B55</f>
        <v>Microsoft Alumni</v>
      </c>
      <c r="C55" s="449">
        <f t="shared" si="8"/>
        <v>0</v>
      </c>
      <c r="D55" s="373">
        <f t="shared" si="3"/>
        <v>0</v>
      </c>
      <c r="E55" s="274">
        <f>'CB-17'!E55</f>
        <v>1</v>
      </c>
      <c r="F55" s="441">
        <f t="shared" si="0"/>
        <v>0</v>
      </c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</row>
    <row r="56" spans="2:18" x14ac:dyDescent="0.25">
      <c r="B56" s="272" t="str">
        <f>'CB-17'!B56</f>
        <v>LinkedIn</v>
      </c>
      <c r="C56" s="449">
        <f t="shared" si="8"/>
        <v>0</v>
      </c>
      <c r="D56" s="373">
        <f t="shared" si="3"/>
        <v>0</v>
      </c>
      <c r="E56" s="274">
        <f>'CB-17'!E56</f>
        <v>1</v>
      </c>
      <c r="F56" s="441">
        <f t="shared" si="0"/>
        <v>0</v>
      </c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</row>
    <row r="57" spans="2:18" x14ac:dyDescent="0.25">
      <c r="B57" s="272" t="str">
        <f>'CB-17'!B57</f>
        <v>DOODLY</v>
      </c>
      <c r="C57" s="449">
        <f t="shared" si="8"/>
        <v>0</v>
      </c>
      <c r="D57" s="373">
        <f t="shared" si="3"/>
        <v>0</v>
      </c>
      <c r="E57" s="274">
        <f>'CB-17'!E57</f>
        <v>1</v>
      </c>
      <c r="F57" s="441">
        <f t="shared" si="0"/>
        <v>0</v>
      </c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</row>
    <row r="58" spans="2:18" ht="15.75" thickBot="1" x14ac:dyDescent="0.3">
      <c r="B58" s="406" t="str">
        <f>'CB-17'!B58</f>
        <v>Whizlabs</v>
      </c>
      <c r="C58" s="449">
        <f t="shared" si="8"/>
        <v>99</v>
      </c>
      <c r="D58" s="373">
        <f t="shared" si="3"/>
        <v>99</v>
      </c>
      <c r="E58" s="274">
        <f>'CB-17'!E58</f>
        <v>1</v>
      </c>
      <c r="F58" s="441">
        <f t="shared" si="0"/>
        <v>99</v>
      </c>
      <c r="G58" s="125"/>
      <c r="H58" s="125"/>
      <c r="I58" s="125"/>
      <c r="J58" s="125"/>
      <c r="K58" s="125"/>
      <c r="L58" s="125"/>
      <c r="M58" s="125">
        <v>99</v>
      </c>
      <c r="N58" s="125"/>
      <c r="O58" s="125"/>
      <c r="P58" s="125"/>
      <c r="Q58" s="125"/>
      <c r="R58" s="125"/>
    </row>
    <row r="59" spans="2:18" ht="15.75" thickBot="1" x14ac:dyDescent="0.3">
      <c r="B59" s="378" t="s">
        <v>126</v>
      </c>
      <c r="C59" s="461"/>
      <c r="D59" s="380" t="s">
        <v>60</v>
      </c>
      <c r="E59" s="380" t="s">
        <v>61</v>
      </c>
      <c r="F59" s="380" t="s">
        <v>62</v>
      </c>
      <c r="G59" s="462"/>
      <c r="H59" s="462"/>
      <c r="I59" s="462"/>
      <c r="J59" s="462"/>
      <c r="K59" s="462"/>
      <c r="L59" s="462"/>
      <c r="M59" s="462"/>
      <c r="N59" s="462"/>
      <c r="O59" s="462"/>
      <c r="P59" s="462"/>
      <c r="Q59" s="462"/>
      <c r="R59" s="463"/>
    </row>
    <row r="60" spans="2:18" x14ac:dyDescent="0.25">
      <c r="B60" s="464" t="s">
        <v>138</v>
      </c>
      <c r="C60" s="449">
        <f t="shared" si="8"/>
        <v>0</v>
      </c>
      <c r="D60" s="373">
        <f t="shared" si="3"/>
        <v>0</v>
      </c>
      <c r="E60" s="465">
        <v>0.54500000000000004</v>
      </c>
      <c r="F60" s="479">
        <f>SUM(G60:R60)</f>
        <v>0</v>
      </c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</row>
    <row r="61" spans="2:18" ht="15.75" thickBot="1" x14ac:dyDescent="0.3">
      <c r="B61" s="467" t="str">
        <f>'CB-17'!B61</f>
        <v>SETUP EXPENSES</v>
      </c>
      <c r="C61" s="468"/>
      <c r="D61" s="467"/>
      <c r="E61" s="478"/>
      <c r="F61" s="467"/>
      <c r="G61" s="467"/>
      <c r="H61" s="467"/>
      <c r="I61" s="467"/>
      <c r="J61" s="467"/>
      <c r="K61" s="467"/>
      <c r="L61" s="467"/>
      <c r="M61" s="467"/>
      <c r="N61" s="467"/>
      <c r="O61" s="467"/>
      <c r="P61" s="467"/>
      <c r="Q61" s="467"/>
      <c r="R61" s="467"/>
    </row>
    <row r="62" spans="2:18" ht="15.75" thickBot="1" x14ac:dyDescent="0.3">
      <c r="B62" s="378" t="str">
        <f>'CB-17'!B62</f>
        <v>WOODRIDGE OFFICE RENOVATION</v>
      </c>
      <c r="C62" s="461"/>
      <c r="D62" s="380" t="s">
        <v>60</v>
      </c>
      <c r="E62" s="380" t="s">
        <v>61</v>
      </c>
      <c r="F62" s="380" t="s">
        <v>62</v>
      </c>
      <c r="G62" s="462"/>
      <c r="H62" s="470"/>
      <c r="I62" s="462"/>
      <c r="J62" s="462"/>
      <c r="K62" s="462"/>
      <c r="L62" s="462"/>
      <c r="M62" s="462"/>
      <c r="N62" s="462"/>
      <c r="O62" s="462"/>
      <c r="P62" s="462"/>
      <c r="Q62" s="462"/>
      <c r="R62" s="463"/>
    </row>
    <row r="63" spans="2:18" x14ac:dyDescent="0.25">
      <c r="B63" s="399" t="str">
        <f>'CB-17'!B63</f>
        <v>Flooring</v>
      </c>
      <c r="C63" s="469">
        <f>D63</f>
        <v>0</v>
      </c>
      <c r="D63" s="384">
        <f>E63*F63</f>
        <v>0</v>
      </c>
      <c r="E63" s="374">
        <v>1</v>
      </c>
      <c r="F63" s="375">
        <f t="shared" ref="F63:F75" si="9">SUM(G63:R63)</f>
        <v>0</v>
      </c>
      <c r="G63" s="398"/>
      <c r="H63" s="398"/>
      <c r="I63" s="398"/>
      <c r="J63" s="398"/>
      <c r="K63" s="398"/>
      <c r="L63" s="398"/>
      <c r="M63" s="398"/>
      <c r="N63" s="398"/>
      <c r="O63" s="398"/>
      <c r="P63" s="398"/>
      <c r="Q63" s="398"/>
      <c r="R63" s="398"/>
    </row>
    <row r="64" spans="2:18" x14ac:dyDescent="0.25">
      <c r="B64" s="399" t="str">
        <f>'CB-17'!B64</f>
        <v>Paint</v>
      </c>
      <c r="C64" s="460">
        <f>D64</f>
        <v>0</v>
      </c>
      <c r="D64" s="322">
        <f>E64*F64</f>
        <v>0</v>
      </c>
      <c r="E64" s="274">
        <v>1</v>
      </c>
      <c r="F64" s="275">
        <f t="shared" si="9"/>
        <v>0</v>
      </c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</row>
    <row r="65" spans="2:18" x14ac:dyDescent="0.25">
      <c r="B65" s="399" t="str">
        <f>'CB-17'!B65</f>
        <v>bathroom</v>
      </c>
      <c r="C65" s="460">
        <f>D65</f>
        <v>0</v>
      </c>
      <c r="D65" s="322">
        <f>E65*F65</f>
        <v>0</v>
      </c>
      <c r="E65" s="274">
        <v>1</v>
      </c>
      <c r="F65" s="275">
        <f t="shared" si="9"/>
        <v>0</v>
      </c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</row>
    <row r="66" spans="2:18" ht="15.75" thickBot="1" x14ac:dyDescent="0.3">
      <c r="B66" s="399" t="str">
        <f>'CB-17'!B66</f>
        <v>electrical work</v>
      </c>
      <c r="C66" s="460">
        <f>D66</f>
        <v>0</v>
      </c>
      <c r="D66" s="322">
        <f>E66*F66</f>
        <v>0</v>
      </c>
      <c r="E66" s="314">
        <v>1</v>
      </c>
      <c r="F66" s="315">
        <f t="shared" si="9"/>
        <v>0</v>
      </c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</row>
    <row r="67" spans="2:18" ht="15.75" thickBot="1" x14ac:dyDescent="0.3">
      <c r="B67" s="378" t="str">
        <f>'CB-17'!B67</f>
        <v>INDIA OFFICE RENOVATION</v>
      </c>
      <c r="C67" s="461"/>
      <c r="D67" s="380" t="s">
        <v>60</v>
      </c>
      <c r="E67" s="380" t="s">
        <v>61</v>
      </c>
      <c r="F67" s="380" t="s">
        <v>62</v>
      </c>
      <c r="G67" s="462"/>
      <c r="H67" s="462"/>
      <c r="I67" s="462"/>
      <c r="J67" s="462"/>
      <c r="K67" s="462"/>
      <c r="L67" s="462"/>
      <c r="M67" s="462"/>
      <c r="N67" s="462"/>
      <c r="O67" s="462"/>
      <c r="P67" s="462"/>
      <c r="Q67" s="462"/>
      <c r="R67" s="463"/>
    </row>
    <row r="68" spans="2:18" x14ac:dyDescent="0.25">
      <c r="B68" s="417" t="str">
        <f>'CB-17'!B68</f>
        <v>faucets</v>
      </c>
      <c r="C68" s="460">
        <f>D68</f>
        <v>0</v>
      </c>
      <c r="D68" s="322">
        <f>E68*F68</f>
        <v>0</v>
      </c>
      <c r="E68" s="374">
        <v>1</v>
      </c>
      <c r="F68" s="375">
        <f t="shared" si="9"/>
        <v>0</v>
      </c>
      <c r="G68" s="398"/>
      <c r="H68" s="398"/>
      <c r="I68" s="398"/>
      <c r="J68" s="398"/>
      <c r="K68" s="398"/>
      <c r="L68" s="398"/>
      <c r="M68" s="398"/>
      <c r="N68" s="398"/>
      <c r="O68" s="398"/>
      <c r="P68" s="398"/>
      <c r="Q68" s="398"/>
      <c r="R68" s="398"/>
    </row>
    <row r="69" spans="2:18" x14ac:dyDescent="0.25">
      <c r="B69" s="417" t="str">
        <f>'CB-17'!B69</f>
        <v>furniture</v>
      </c>
      <c r="C69" s="460">
        <f t="shared" ref="C69:C75" si="10">D69</f>
        <v>0</v>
      </c>
      <c r="D69" s="322">
        <f t="shared" ref="D69:D75" si="11">E69*F69</f>
        <v>0</v>
      </c>
      <c r="E69" s="274">
        <v>1</v>
      </c>
      <c r="F69" s="375">
        <f t="shared" si="9"/>
        <v>0</v>
      </c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</row>
    <row r="70" spans="2:18" ht="15.75" thickBot="1" x14ac:dyDescent="0.3">
      <c r="B70" s="417" t="str">
        <f>'CB-17'!B70</f>
        <v>lights</v>
      </c>
      <c r="C70" s="460">
        <f t="shared" si="10"/>
        <v>0</v>
      </c>
      <c r="D70" s="322">
        <f t="shared" si="11"/>
        <v>0</v>
      </c>
      <c r="E70" s="314">
        <v>1</v>
      </c>
      <c r="F70" s="375">
        <f t="shared" si="9"/>
        <v>0</v>
      </c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</row>
    <row r="71" spans="2:18" ht="15.75" thickBot="1" x14ac:dyDescent="0.3">
      <c r="B71" s="378" t="str">
        <f>'CB-17'!B71</f>
        <v>INDIA OFFICE EXPENSES</v>
      </c>
      <c r="C71" s="461">
        <f>SUM(C72:C74)</f>
        <v>0</v>
      </c>
      <c r="D71" s="380" t="s">
        <v>60</v>
      </c>
      <c r="E71" s="380" t="s">
        <v>61</v>
      </c>
      <c r="F71" s="380" t="s">
        <v>62</v>
      </c>
      <c r="G71" s="462"/>
      <c r="H71" s="462"/>
      <c r="I71" s="462"/>
      <c r="J71" s="462"/>
      <c r="K71" s="462"/>
      <c r="L71" s="462"/>
      <c r="M71" s="462"/>
      <c r="N71" s="462"/>
      <c r="O71" s="462"/>
      <c r="P71" s="462"/>
      <c r="Q71" s="462"/>
      <c r="R71" s="463"/>
    </row>
    <row r="72" spans="2:18" x14ac:dyDescent="0.25">
      <c r="B72" s="417" t="str">
        <f>'CB-17'!B72</f>
        <v>electricity</v>
      </c>
      <c r="C72" s="460">
        <f t="shared" si="10"/>
        <v>0</v>
      </c>
      <c r="D72" s="322">
        <f t="shared" si="11"/>
        <v>0</v>
      </c>
      <c r="E72" s="374">
        <v>1</v>
      </c>
      <c r="F72" s="375">
        <f t="shared" si="9"/>
        <v>0</v>
      </c>
      <c r="G72" s="398"/>
      <c r="H72" s="398"/>
      <c r="I72" s="398"/>
      <c r="J72" s="398"/>
      <c r="K72" s="398"/>
      <c r="L72" s="398"/>
      <c r="M72" s="398"/>
      <c r="N72" s="398"/>
      <c r="O72" s="398"/>
      <c r="P72" s="398"/>
      <c r="Q72" s="398"/>
      <c r="R72" s="398"/>
    </row>
    <row r="73" spans="2:18" x14ac:dyDescent="0.25">
      <c r="B73" s="417" t="str">
        <f>'CB-17'!B73</f>
        <v>taxes</v>
      </c>
      <c r="C73" s="460">
        <f t="shared" si="10"/>
        <v>0</v>
      </c>
      <c r="D73" s="322">
        <f t="shared" si="11"/>
        <v>0</v>
      </c>
      <c r="E73" s="274">
        <v>1</v>
      </c>
      <c r="F73" s="375">
        <f t="shared" si="9"/>
        <v>0</v>
      </c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</row>
    <row r="74" spans="2:18" x14ac:dyDescent="0.25">
      <c r="B74" s="417" t="str">
        <f>'CB-17'!B74</f>
        <v>cleaning</v>
      </c>
      <c r="C74" s="460">
        <f t="shared" si="10"/>
        <v>0</v>
      </c>
      <c r="D74" s="322">
        <f t="shared" si="11"/>
        <v>0</v>
      </c>
      <c r="E74" s="274">
        <v>1</v>
      </c>
      <c r="F74" s="375">
        <f t="shared" si="9"/>
        <v>0</v>
      </c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</row>
    <row r="75" spans="2:18" ht="15.75" thickBot="1" x14ac:dyDescent="0.3">
      <c r="B75" s="417" t="str">
        <f>'CB-17'!B75</f>
        <v>Staff</v>
      </c>
      <c r="C75" s="460">
        <f t="shared" si="10"/>
        <v>0</v>
      </c>
      <c r="D75" s="322">
        <f t="shared" si="11"/>
        <v>0</v>
      </c>
      <c r="E75" s="274">
        <v>1</v>
      </c>
      <c r="F75" s="375">
        <f t="shared" si="9"/>
        <v>0</v>
      </c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</row>
    <row r="76" spans="2:18" ht="15.75" thickBot="1" x14ac:dyDescent="0.3">
      <c r="B76" s="388" t="s">
        <v>80</v>
      </c>
      <c r="C76" s="466">
        <f>SUM(C77:C80)</f>
        <v>0</v>
      </c>
      <c r="D76" s="380" t="s">
        <v>60</v>
      </c>
      <c r="E76" s="380" t="s">
        <v>61</v>
      </c>
      <c r="F76" s="380" t="s">
        <v>62</v>
      </c>
      <c r="G76" s="389"/>
      <c r="H76" s="381"/>
      <c r="I76" s="381"/>
      <c r="J76" s="381"/>
      <c r="K76" s="381"/>
      <c r="L76" s="381"/>
      <c r="M76" s="381"/>
      <c r="N76" s="381"/>
      <c r="O76" s="381"/>
      <c r="P76" s="381"/>
      <c r="Q76" s="381"/>
      <c r="R76" s="382"/>
    </row>
    <row r="77" spans="2:18" x14ac:dyDescent="0.25">
      <c r="B77" s="399"/>
      <c r="C77" s="449"/>
      <c r="D77" s="384"/>
      <c r="E77" s="476"/>
      <c r="F77" s="450">
        <f>SUM(G77:R77)</f>
        <v>0</v>
      </c>
      <c r="G77" s="451"/>
      <c r="H77" s="451"/>
      <c r="I77" s="451"/>
      <c r="J77" s="451"/>
      <c r="K77" s="451"/>
      <c r="L77" s="451"/>
      <c r="M77" s="451"/>
      <c r="N77" s="451"/>
      <c r="O77" s="451"/>
      <c r="P77" s="451"/>
      <c r="Q77" s="451"/>
      <c r="R77" s="451"/>
    </row>
    <row r="78" spans="2:18" x14ac:dyDescent="0.25">
      <c r="B78" s="272"/>
      <c r="C78" s="357"/>
      <c r="D78" s="322"/>
      <c r="E78" s="477"/>
      <c r="F78" s="441">
        <f>SUM(G78:R78)</f>
        <v>0</v>
      </c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</row>
    <row r="79" spans="2:18" x14ac:dyDescent="0.25">
      <c r="B79" s="272"/>
      <c r="C79" s="357"/>
      <c r="D79" s="322"/>
      <c r="E79" s="477"/>
      <c r="F79" s="441">
        <f>SUM(G79:R79)</f>
        <v>0</v>
      </c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</row>
    <row r="80" spans="2:18" x14ac:dyDescent="0.25">
      <c r="B80" s="272"/>
      <c r="C80" s="357"/>
      <c r="D80" s="322"/>
      <c r="E80" s="477"/>
      <c r="F80" s="441">
        <f>SUM(G80:R80)</f>
        <v>0</v>
      </c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</row>
  </sheetData>
  <mergeCells count="1">
    <mergeCell ref="G1:R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900C0-CDDA-44D0-87F7-3EC61FC40673}">
  <sheetPr>
    <tabColor rgb="FFC00000"/>
  </sheetPr>
  <dimension ref="A1:X111"/>
  <sheetViews>
    <sheetView topLeftCell="B1" workbookViewId="0">
      <pane xSplit="22" ySplit="5" topLeftCell="X6" activePane="bottomRight" state="frozen"/>
      <selection pane="topRight"/>
      <selection pane="bottomLeft"/>
      <selection pane="bottomRight" activeCell="H20" sqref="H20:S20"/>
    </sheetView>
  </sheetViews>
  <sheetFormatPr defaultRowHeight="15" x14ac:dyDescent="0.25"/>
  <cols>
    <col min="1" max="1" width="9.7109375" customWidth="1"/>
    <col min="2" max="2" width="7.85546875" hidden="1" customWidth="1"/>
    <col min="3" max="3" width="33.28515625" bestFit="1" customWidth="1"/>
    <col min="4" max="4" width="12" style="358" bestFit="1" customWidth="1"/>
    <col min="5" max="5" width="10.85546875" style="1" bestFit="1" customWidth="1"/>
    <col min="6" max="6" width="8.28515625" style="1" bestFit="1" customWidth="1"/>
    <col min="7" max="7" width="12" style="42" bestFit="1" customWidth="1"/>
    <col min="8" max="8" width="11.5703125" bestFit="1" customWidth="1"/>
    <col min="9" max="9" width="11.42578125" bestFit="1" customWidth="1"/>
    <col min="10" max="19" width="12.5703125" bestFit="1" customWidth="1"/>
    <col min="20" max="20" width="1.5703125" customWidth="1"/>
    <col min="21" max="21" width="7.42578125" style="113" bestFit="1" customWidth="1"/>
    <col min="22" max="22" width="10.5703125" bestFit="1" customWidth="1"/>
    <col min="23" max="23" width="9.5703125" customWidth="1"/>
    <col min="24" max="24" width="14.7109375" customWidth="1"/>
  </cols>
  <sheetData>
    <row r="1" spans="2:24" ht="15.75" thickBot="1" x14ac:dyDescent="0.3">
      <c r="B1" s="263">
        <f>Summary!K5</f>
        <v>2019</v>
      </c>
      <c r="C1" s="264">
        <f>Summary!K5</f>
        <v>2019</v>
      </c>
      <c r="D1" s="366"/>
      <c r="E1" s="245"/>
      <c r="F1" s="245"/>
      <c r="G1" s="245"/>
      <c r="H1" s="556" t="str">
        <f>"CLOUDBAUD CONSULTING "&amp; Summary!K5 &amp; " ONLY"</f>
        <v>CLOUDBAUD CONSULTING 2019 ONLY</v>
      </c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62"/>
    </row>
    <row r="2" spans="2:24" x14ac:dyDescent="0.25">
      <c r="B2" s="223" t="s">
        <v>128</v>
      </c>
      <c r="C2" s="260"/>
      <c r="D2" s="367"/>
      <c r="E2" s="216"/>
      <c r="F2" s="216"/>
      <c r="G2" s="217" t="s">
        <v>41</v>
      </c>
      <c r="H2" s="182" t="s">
        <v>42</v>
      </c>
      <c r="I2" s="182" t="s">
        <v>43</v>
      </c>
      <c r="J2" s="182" t="s">
        <v>44</v>
      </c>
      <c r="K2" s="182" t="s">
        <v>45</v>
      </c>
      <c r="L2" s="182" t="s">
        <v>46</v>
      </c>
      <c r="M2" s="182" t="s">
        <v>47</v>
      </c>
      <c r="N2" s="182" t="s">
        <v>48</v>
      </c>
      <c r="O2" s="182" t="s">
        <v>49</v>
      </c>
      <c r="P2" s="182" t="s">
        <v>50</v>
      </c>
      <c r="Q2" s="182" t="s">
        <v>51</v>
      </c>
      <c r="R2" s="182" t="s">
        <v>52</v>
      </c>
      <c r="S2" s="183" t="s">
        <v>53</v>
      </c>
      <c r="U2" s="220" t="s">
        <v>54</v>
      </c>
      <c r="V2" s="120" t="s">
        <v>55</v>
      </c>
      <c r="W2" s="120" t="s">
        <v>56</v>
      </c>
      <c r="X2" s="120" t="s">
        <v>57</v>
      </c>
    </row>
    <row r="3" spans="2:24" x14ac:dyDescent="0.25">
      <c r="B3" s="235" t="s">
        <v>129</v>
      </c>
      <c r="C3" s="433" t="str">
        <f>'CB-17'!B3</f>
        <v>CONSULTING REVENUE</v>
      </c>
      <c r="D3" s="521">
        <f>G3</f>
        <v>130000</v>
      </c>
      <c r="E3" s="522"/>
      <c r="F3" s="523"/>
      <c r="G3" s="521">
        <f>SUM(H3:S3)</f>
        <v>130000</v>
      </c>
      <c r="H3" s="522">
        <f t="shared" ref="H3:M3" si="0">10000+10000</f>
        <v>20000</v>
      </c>
      <c r="I3" s="522">
        <f t="shared" si="0"/>
        <v>20000</v>
      </c>
      <c r="J3" s="522">
        <f t="shared" si="0"/>
        <v>20000</v>
      </c>
      <c r="K3" s="522">
        <f t="shared" si="0"/>
        <v>20000</v>
      </c>
      <c r="L3" s="522">
        <f t="shared" si="0"/>
        <v>20000</v>
      </c>
      <c r="M3" s="522">
        <f t="shared" si="0"/>
        <v>20000</v>
      </c>
      <c r="N3" s="522">
        <v>0</v>
      </c>
      <c r="O3" s="522">
        <v>10000</v>
      </c>
      <c r="P3" s="522">
        <v>0</v>
      </c>
      <c r="Q3" s="522">
        <v>0</v>
      </c>
      <c r="R3" s="522">
        <v>0</v>
      </c>
      <c r="S3" s="522">
        <v>0</v>
      </c>
      <c r="U3" s="221">
        <v>9923</v>
      </c>
      <c r="V3" s="115">
        <v>200</v>
      </c>
      <c r="W3" s="116">
        <v>44944</v>
      </c>
      <c r="X3" s="117"/>
    </row>
    <row r="4" spans="2:24" x14ac:dyDescent="0.25">
      <c r="C4" s="524"/>
      <c r="D4" s="354"/>
      <c r="E4" s="405"/>
      <c r="F4" s="405"/>
      <c r="G4" s="525" t="s">
        <v>58</v>
      </c>
      <c r="H4" s="297">
        <f>H3</f>
        <v>20000</v>
      </c>
      <c r="I4" s="297">
        <f>H4+I3</f>
        <v>40000</v>
      </c>
      <c r="J4" s="297">
        <f t="shared" ref="J4:S4" si="1">I4+J3</f>
        <v>60000</v>
      </c>
      <c r="K4" s="297">
        <f t="shared" si="1"/>
        <v>80000</v>
      </c>
      <c r="L4" s="297">
        <f t="shared" si="1"/>
        <v>100000</v>
      </c>
      <c r="M4" s="297">
        <f t="shared" si="1"/>
        <v>120000</v>
      </c>
      <c r="N4" s="297">
        <f t="shared" si="1"/>
        <v>120000</v>
      </c>
      <c r="O4" s="297">
        <f t="shared" si="1"/>
        <v>130000</v>
      </c>
      <c r="P4" s="297">
        <f t="shared" si="1"/>
        <v>130000</v>
      </c>
      <c r="Q4" s="297">
        <f t="shared" si="1"/>
        <v>130000</v>
      </c>
      <c r="R4" s="297">
        <f t="shared" si="1"/>
        <v>130000</v>
      </c>
      <c r="S4" s="297">
        <f t="shared" si="1"/>
        <v>130000</v>
      </c>
      <c r="U4">
        <v>9924</v>
      </c>
      <c r="V4">
        <v>200</v>
      </c>
      <c r="W4" s="215">
        <v>44977</v>
      </c>
    </row>
    <row r="5" spans="2:24" x14ac:dyDescent="0.25">
      <c r="C5" s="439" t="str">
        <f>'CB-17'!B5</f>
        <v>TOTAL EXPENSES</v>
      </c>
      <c r="D5" s="526">
        <f>D7+D20+D27+D76+D35+D59+D45+D62+D67+D71</f>
        <v>50174.486599999997</v>
      </c>
      <c r="E5" s="298"/>
      <c r="F5" s="523"/>
      <c r="G5" s="325"/>
      <c r="H5" s="298"/>
      <c r="I5" s="298"/>
      <c r="J5" s="298"/>
      <c r="K5" s="298"/>
      <c r="L5" s="298"/>
      <c r="M5" s="298"/>
      <c r="N5" s="298"/>
      <c r="O5" s="298"/>
      <c r="P5" s="298"/>
      <c r="Q5" s="298"/>
      <c r="R5" s="298"/>
      <c r="S5" s="298"/>
      <c r="U5">
        <v>9925</v>
      </c>
      <c r="V5">
        <v>200</v>
      </c>
      <c r="W5" s="215">
        <v>45004</v>
      </c>
    </row>
    <row r="6" spans="2:24" x14ac:dyDescent="0.25">
      <c r="C6" s="433" t="str">
        <f>'CB-17'!B6</f>
        <v>NET REVENUE</v>
      </c>
      <c r="D6" s="521">
        <f>D3-D5</f>
        <v>79825.513399999996</v>
      </c>
      <c r="E6" s="298"/>
      <c r="F6" s="523"/>
      <c r="G6" s="325"/>
      <c r="H6" s="298"/>
      <c r="I6" s="298"/>
      <c r="J6" s="298"/>
      <c r="K6" s="298"/>
      <c r="L6" s="298"/>
      <c r="M6" s="298"/>
      <c r="N6" s="298"/>
      <c r="O6" s="298"/>
      <c r="P6" s="298"/>
      <c r="Q6" s="298"/>
      <c r="R6" s="298"/>
      <c r="S6" s="298"/>
      <c r="U6"/>
      <c r="W6" s="215"/>
    </row>
    <row r="7" spans="2:24" x14ac:dyDescent="0.25">
      <c r="C7" s="288" t="str">
        <f>'CB-17'!B7</f>
        <v>UTILITIES</v>
      </c>
      <c r="D7" s="453">
        <f>SUM(D8:D19)</f>
        <v>1712.8666000000003</v>
      </c>
      <c r="E7" s="290" t="s">
        <v>60</v>
      </c>
      <c r="F7" s="290" t="s">
        <v>61</v>
      </c>
      <c r="G7" s="290" t="s">
        <v>62</v>
      </c>
      <c r="H7" s="291">
        <f>SUM(H8:H14)</f>
        <v>445.12</v>
      </c>
      <c r="I7" s="291">
        <f t="shared" ref="I7:S7" si="2">SUM(I8:I14)</f>
        <v>1217.1400000000001</v>
      </c>
      <c r="J7" s="291">
        <f t="shared" si="2"/>
        <v>479.18</v>
      </c>
      <c r="K7" s="291">
        <f>SUM(K8:K34)</f>
        <v>1736.62</v>
      </c>
      <c r="L7" s="291">
        <f t="shared" si="2"/>
        <v>365.36</v>
      </c>
      <c r="M7" s="291">
        <f t="shared" si="2"/>
        <v>706.03</v>
      </c>
      <c r="N7" s="291">
        <f t="shared" si="2"/>
        <v>332.83</v>
      </c>
      <c r="O7" s="291">
        <f t="shared" si="2"/>
        <v>600.06999999999994</v>
      </c>
      <c r="P7" s="291">
        <f t="shared" si="2"/>
        <v>190</v>
      </c>
      <c r="Q7" s="291">
        <f t="shared" si="2"/>
        <v>682.43000000000006</v>
      </c>
      <c r="R7" s="291">
        <f t="shared" si="2"/>
        <v>397.14</v>
      </c>
      <c r="S7" s="291">
        <f t="shared" si="2"/>
        <v>1115.94</v>
      </c>
      <c r="U7">
        <v>3048</v>
      </c>
      <c r="V7">
        <v>320.02999999999997</v>
      </c>
      <c r="W7" s="215">
        <v>45066</v>
      </c>
    </row>
    <row r="8" spans="2:24" x14ac:dyDescent="0.25">
      <c r="B8" t="e">
        <f>#REF!</f>
        <v>#REF!</v>
      </c>
      <c r="C8" s="272" t="str">
        <f>'CB-17'!B8</f>
        <v>Electricity</v>
      </c>
      <c r="D8" s="460">
        <f>E8</f>
        <v>368.80480000000006</v>
      </c>
      <c r="E8" s="273">
        <f t="shared" ref="E8:E44" si="3">F8*G8</f>
        <v>368.80480000000006</v>
      </c>
      <c r="F8" s="274">
        <f>'CB-17'!E8</f>
        <v>0.17</v>
      </c>
      <c r="G8" s="293">
        <f t="shared" ref="G8:G16" si="4">SUM(H8:S8)</f>
        <v>2169.44</v>
      </c>
      <c r="H8" s="294">
        <v>255.12</v>
      </c>
      <c r="I8" s="294">
        <v>272.7</v>
      </c>
      <c r="J8" s="294">
        <v>289.18</v>
      </c>
      <c r="K8" s="294">
        <v>249.83</v>
      </c>
      <c r="L8" s="294">
        <v>175.36</v>
      </c>
      <c r="M8" s="294">
        <f>12.64+130.19</f>
        <v>142.82999999999998</v>
      </c>
      <c r="N8" s="294">
        <f>12.64+130.19</f>
        <v>142.82999999999998</v>
      </c>
      <c r="O8" s="294">
        <v>67.14</v>
      </c>
      <c r="P8" s="294"/>
      <c r="Q8" s="294">
        <v>119.23</v>
      </c>
      <c r="R8" s="294">
        <v>207.14</v>
      </c>
      <c r="S8" s="294">
        <v>248.08</v>
      </c>
      <c r="U8"/>
    </row>
    <row r="9" spans="2:24" x14ac:dyDescent="0.25">
      <c r="B9" t="e">
        <f>#REF!</f>
        <v>#REF!</v>
      </c>
      <c r="C9" s="272" t="str">
        <f>'CB-17'!B9</f>
        <v>Waste &amp; Recycle</v>
      </c>
      <c r="D9" s="460">
        <f t="shared" ref="D9:D26" si="5">E9</f>
        <v>22.156100000000002</v>
      </c>
      <c r="E9" s="273">
        <f t="shared" si="3"/>
        <v>22.156100000000002</v>
      </c>
      <c r="F9" s="274">
        <f>'CB-17'!E9</f>
        <v>0.17</v>
      </c>
      <c r="G9" s="293">
        <f t="shared" si="4"/>
        <v>130.33000000000001</v>
      </c>
      <c r="H9" s="294"/>
      <c r="I9" s="294"/>
      <c r="J9" s="294"/>
      <c r="K9" s="294">
        <v>130.33000000000001</v>
      </c>
      <c r="L9" s="294"/>
      <c r="M9" s="294"/>
      <c r="N9" s="294"/>
      <c r="O9" s="294"/>
      <c r="P9" s="294"/>
      <c r="Q9" s="294"/>
      <c r="R9" s="294"/>
      <c r="S9" s="294"/>
      <c r="U9"/>
    </row>
    <row r="10" spans="2:24" x14ac:dyDescent="0.25">
      <c r="B10" s="219" t="e">
        <f>#REF!</f>
        <v>#REF!</v>
      </c>
      <c r="C10" s="272" t="str">
        <f>'CB-17'!B10</f>
        <v>Water &amp; Sewer</v>
      </c>
      <c r="D10" s="460">
        <f t="shared" si="5"/>
        <v>499.32570000000004</v>
      </c>
      <c r="E10" s="273">
        <f t="shared" si="3"/>
        <v>499.32570000000004</v>
      </c>
      <c r="F10" s="274">
        <f>'CB-17'!E10</f>
        <v>0.17</v>
      </c>
      <c r="G10" s="293">
        <f>SUM(H10:S10)</f>
        <v>2937.21</v>
      </c>
      <c r="H10" s="294"/>
      <c r="I10" s="294">
        <v>754.44</v>
      </c>
      <c r="J10" s="294"/>
      <c r="K10" s="294">
        <v>415.58</v>
      </c>
      <c r="L10" s="294"/>
      <c r="M10" s="294">
        <v>373.2</v>
      </c>
      <c r="N10" s="294"/>
      <c r="O10" s="294">
        <v>342.93</v>
      </c>
      <c r="P10" s="294"/>
      <c r="Q10" s="294">
        <v>373.2</v>
      </c>
      <c r="R10" s="294"/>
      <c r="S10" s="294">
        <v>677.86</v>
      </c>
      <c r="U10"/>
    </row>
    <row r="11" spans="2:24" x14ac:dyDescent="0.25">
      <c r="B11" s="219" t="e">
        <f>#REF!</f>
        <v>#REF!</v>
      </c>
      <c r="C11" s="272" t="str">
        <f>'CB-17'!B11</f>
        <v>Security</v>
      </c>
      <c r="D11" s="460">
        <f t="shared" si="5"/>
        <v>102.00000000000001</v>
      </c>
      <c r="E11" s="273">
        <f t="shared" si="3"/>
        <v>102.00000000000001</v>
      </c>
      <c r="F11" s="274">
        <f>'CB-17'!E11</f>
        <v>0.17</v>
      </c>
      <c r="G11" s="293">
        <f t="shared" si="4"/>
        <v>600</v>
      </c>
      <c r="H11" s="294">
        <v>50</v>
      </c>
      <c r="I11" s="294">
        <v>50</v>
      </c>
      <c r="J11" s="294">
        <v>50</v>
      </c>
      <c r="K11" s="294">
        <v>50</v>
      </c>
      <c r="L11" s="294">
        <v>50</v>
      </c>
      <c r="M11" s="294">
        <v>50</v>
      </c>
      <c r="N11" s="294">
        <v>50</v>
      </c>
      <c r="O11" s="294">
        <v>50</v>
      </c>
      <c r="P11" s="294">
        <v>50</v>
      </c>
      <c r="Q11" s="294">
        <v>50</v>
      </c>
      <c r="R11" s="294">
        <v>50</v>
      </c>
      <c r="S11" s="294">
        <v>50</v>
      </c>
      <c r="U11"/>
    </row>
    <row r="12" spans="2:24" x14ac:dyDescent="0.25">
      <c r="B12" s="219" t="e">
        <f>#REF!</f>
        <v>#REF!</v>
      </c>
      <c r="C12" s="272" t="str">
        <f>'CB-17'!B12</f>
        <v>Landscaping</v>
      </c>
      <c r="D12" s="460">
        <f t="shared" si="5"/>
        <v>285.60000000000002</v>
      </c>
      <c r="E12" s="273">
        <f t="shared" si="3"/>
        <v>285.60000000000002</v>
      </c>
      <c r="F12" s="274">
        <f>'CB-17'!E12</f>
        <v>0.17</v>
      </c>
      <c r="G12" s="293">
        <f t="shared" si="4"/>
        <v>1680</v>
      </c>
      <c r="H12" s="294">
        <v>140</v>
      </c>
      <c r="I12" s="294">
        <v>140</v>
      </c>
      <c r="J12" s="294">
        <v>140</v>
      </c>
      <c r="K12" s="294">
        <v>140</v>
      </c>
      <c r="L12" s="294">
        <v>140</v>
      </c>
      <c r="M12" s="294">
        <v>140</v>
      </c>
      <c r="N12" s="294">
        <v>140</v>
      </c>
      <c r="O12" s="294">
        <v>140</v>
      </c>
      <c r="P12" s="294">
        <v>140</v>
      </c>
      <c r="Q12" s="294">
        <v>140</v>
      </c>
      <c r="R12" s="294">
        <v>140</v>
      </c>
      <c r="S12" s="294">
        <v>140</v>
      </c>
      <c r="U12"/>
    </row>
    <row r="13" spans="2:24" x14ac:dyDescent="0.25">
      <c r="C13" s="272" t="str">
        <f>'CB-17'!B13</f>
        <v>Home Owners Insurance</v>
      </c>
      <c r="D13" s="460">
        <f t="shared" si="5"/>
        <v>0</v>
      </c>
      <c r="E13" s="273">
        <f t="shared" si="3"/>
        <v>0</v>
      </c>
      <c r="F13" s="274">
        <f>'CB-17'!E13</f>
        <v>0.17</v>
      </c>
      <c r="G13" s="293">
        <f t="shared" si="4"/>
        <v>0</v>
      </c>
      <c r="H13" s="294"/>
      <c r="I13" s="294"/>
      <c r="J13" s="294"/>
      <c r="K13" s="294"/>
      <c r="L13" s="294"/>
      <c r="M13" s="294"/>
      <c r="N13" s="294"/>
      <c r="O13" s="294"/>
      <c r="P13" s="294"/>
      <c r="Q13" s="294"/>
      <c r="R13" s="294"/>
      <c r="S13" s="294"/>
      <c r="U13"/>
    </row>
    <row r="14" spans="2:24" x14ac:dyDescent="0.25">
      <c r="C14" s="272" t="str">
        <f>'CB-17'!B14</f>
        <v>Appliance Maintenance</v>
      </c>
      <c r="D14" s="460">
        <f t="shared" si="5"/>
        <v>0</v>
      </c>
      <c r="E14" s="273">
        <f t="shared" si="3"/>
        <v>0</v>
      </c>
      <c r="F14" s="274">
        <f>'CB-17'!E14</f>
        <v>0.5</v>
      </c>
      <c r="G14" s="293">
        <f t="shared" si="4"/>
        <v>0</v>
      </c>
      <c r="H14" s="294"/>
      <c r="I14" s="294"/>
      <c r="J14" s="294"/>
      <c r="K14" s="294"/>
      <c r="L14" s="294"/>
      <c r="M14" s="294"/>
      <c r="N14" s="294"/>
      <c r="O14" s="294"/>
      <c r="P14" s="294"/>
      <c r="Q14" s="294"/>
      <c r="R14" s="294"/>
      <c r="S14" s="294"/>
      <c r="U14"/>
    </row>
    <row r="15" spans="2:24" x14ac:dyDescent="0.25">
      <c r="C15" s="272" t="str">
        <f>'CB-17'!B15</f>
        <v>Apple Warranty</v>
      </c>
      <c r="D15" s="460">
        <f t="shared" si="5"/>
        <v>164.5</v>
      </c>
      <c r="E15" s="273">
        <f t="shared" si="3"/>
        <v>164.5</v>
      </c>
      <c r="F15" s="274">
        <f>'CB-17'!E15</f>
        <v>0.5</v>
      </c>
      <c r="G15" s="293">
        <f t="shared" si="4"/>
        <v>329</v>
      </c>
      <c r="H15" s="294"/>
      <c r="I15" s="294"/>
      <c r="J15" s="294"/>
      <c r="K15" s="294">
        <v>329</v>
      </c>
      <c r="L15" s="294"/>
      <c r="M15" s="294"/>
      <c r="N15" s="294"/>
      <c r="O15" s="294"/>
      <c r="P15" s="294"/>
      <c r="Q15" s="294"/>
      <c r="R15" s="294"/>
      <c r="S15" s="294"/>
      <c r="U15"/>
    </row>
    <row r="16" spans="2:24" x14ac:dyDescent="0.25">
      <c r="C16" s="272" t="str">
        <f>'CB-17'!B16</f>
        <v>Computers Warranty</v>
      </c>
      <c r="D16" s="460">
        <f t="shared" si="5"/>
        <v>0</v>
      </c>
      <c r="E16" s="273">
        <f t="shared" si="3"/>
        <v>0</v>
      </c>
      <c r="F16" s="274">
        <f>'CB-17'!E16</f>
        <v>0.5</v>
      </c>
      <c r="G16" s="293">
        <f t="shared" si="4"/>
        <v>0</v>
      </c>
      <c r="H16" s="294"/>
      <c r="I16" s="294"/>
      <c r="J16" s="294"/>
      <c r="K16" s="294"/>
      <c r="L16" s="294"/>
      <c r="M16" s="294"/>
      <c r="N16" s="294"/>
      <c r="O16" s="294"/>
      <c r="P16" s="294"/>
      <c r="Q16" s="294"/>
      <c r="R16" s="294"/>
      <c r="S16" s="294"/>
      <c r="U16"/>
    </row>
    <row r="17" spans="1:21" x14ac:dyDescent="0.25">
      <c r="B17" t="s">
        <v>134</v>
      </c>
      <c r="C17" s="295" t="str">
        <f>'CB-17'!B17</f>
        <v>Cellular Service</v>
      </c>
      <c r="D17" s="460">
        <f t="shared" si="5"/>
        <v>270.47999999999996</v>
      </c>
      <c r="E17" s="273">
        <f t="shared" si="3"/>
        <v>270.47999999999996</v>
      </c>
      <c r="F17" s="274">
        <f>'CB-17'!E17</f>
        <v>0.5</v>
      </c>
      <c r="G17" s="298">
        <f>SUM(H17:S17)</f>
        <v>540.95999999999992</v>
      </c>
      <c r="H17" s="294">
        <v>45.08</v>
      </c>
      <c r="I17" s="294"/>
      <c r="J17" s="294">
        <f>45.08+45.08</f>
        <v>90.16</v>
      </c>
      <c r="K17" s="294"/>
      <c r="L17" s="294">
        <f>45.08+45.08</f>
        <v>90.16</v>
      </c>
      <c r="M17" s="294"/>
      <c r="N17" s="294">
        <f>45.08+45.08</f>
        <v>90.16</v>
      </c>
      <c r="O17" s="294">
        <v>45.08</v>
      </c>
      <c r="P17" s="294"/>
      <c r="Q17" s="294">
        <f>45.08+45.08</f>
        <v>90.16</v>
      </c>
      <c r="R17" s="294"/>
      <c r="S17" s="294">
        <f>45.08+45.08</f>
        <v>90.16</v>
      </c>
      <c r="U17"/>
    </row>
    <row r="18" spans="1:21" x14ac:dyDescent="0.25">
      <c r="A18" t="s">
        <v>83</v>
      </c>
      <c r="B18" t="s">
        <v>135</v>
      </c>
      <c r="C18" s="295" t="str">
        <f>'CB-17'!B18</f>
        <v>Broadband</v>
      </c>
      <c r="D18" s="460">
        <f t="shared" si="5"/>
        <v>0</v>
      </c>
      <c r="E18" s="273">
        <f t="shared" si="3"/>
        <v>0</v>
      </c>
      <c r="F18" s="274">
        <f>'CB-17'!E18</f>
        <v>0.5</v>
      </c>
      <c r="G18" s="298">
        <f>SUM(H18:S18)</f>
        <v>0</v>
      </c>
      <c r="H18" s="294"/>
      <c r="I18" s="294"/>
      <c r="J18" s="294"/>
      <c r="K18" s="294"/>
      <c r="L18" s="294"/>
      <c r="M18" s="294"/>
      <c r="N18" s="294"/>
      <c r="O18" s="294"/>
      <c r="P18" s="294"/>
      <c r="Q18" s="294"/>
      <c r="R18" s="294"/>
      <c r="S18" s="294"/>
      <c r="U18"/>
    </row>
    <row r="19" spans="1:21" ht="15.75" thickBot="1" x14ac:dyDescent="0.3">
      <c r="C19" s="295" t="str">
        <f>'CB-17'!B19</f>
        <v>TV Cable</v>
      </c>
      <c r="D19" s="460">
        <f t="shared" si="5"/>
        <v>0</v>
      </c>
      <c r="E19" s="273">
        <f t="shared" si="3"/>
        <v>0</v>
      </c>
      <c r="F19" s="274">
        <f>'CB-17'!E19</f>
        <v>0.5</v>
      </c>
      <c r="G19" s="298">
        <f>SUM(H19:S19)</f>
        <v>0</v>
      </c>
      <c r="H19" s="294"/>
      <c r="I19" s="294"/>
      <c r="J19" s="294"/>
      <c r="K19" s="294"/>
      <c r="L19" s="294"/>
      <c r="M19" s="294"/>
      <c r="N19" s="294"/>
      <c r="O19" s="294"/>
      <c r="P19" s="294"/>
      <c r="Q19" s="294"/>
      <c r="R19" s="294"/>
      <c r="S19" s="294"/>
      <c r="U19"/>
    </row>
    <row r="20" spans="1:21" ht="15.75" thickBot="1" x14ac:dyDescent="0.3">
      <c r="C20" s="288" t="str">
        <f>'CB-17'!B20</f>
        <v>DEPRECIABLE ASSETS</v>
      </c>
      <c r="D20" s="453">
        <f>SUM(D21:D26)</f>
        <v>0</v>
      </c>
      <c r="E20" s="290" t="s">
        <v>60</v>
      </c>
      <c r="F20" s="290" t="s">
        <v>61</v>
      </c>
      <c r="G20" s="290" t="s">
        <v>62</v>
      </c>
      <c r="H20" s="381">
        <f>SUM(H21:H26)</f>
        <v>0</v>
      </c>
      <c r="I20" s="381">
        <f t="shared" ref="I20:S20" si="6">SUM(I21:I26)</f>
        <v>0</v>
      </c>
      <c r="J20" s="381">
        <f t="shared" si="6"/>
        <v>0</v>
      </c>
      <c r="K20" s="381">
        <f t="shared" si="6"/>
        <v>0</v>
      </c>
      <c r="L20" s="381">
        <f t="shared" si="6"/>
        <v>0</v>
      </c>
      <c r="M20" s="381">
        <f t="shared" si="6"/>
        <v>0</v>
      </c>
      <c r="N20" s="381">
        <f t="shared" si="6"/>
        <v>0</v>
      </c>
      <c r="O20" s="381">
        <f t="shared" si="6"/>
        <v>0</v>
      </c>
      <c r="P20" s="381">
        <f t="shared" si="6"/>
        <v>0</v>
      </c>
      <c r="Q20" s="381">
        <f t="shared" si="6"/>
        <v>0</v>
      </c>
      <c r="R20" s="381">
        <f t="shared" si="6"/>
        <v>0</v>
      </c>
      <c r="S20" s="381">
        <f t="shared" si="6"/>
        <v>0</v>
      </c>
      <c r="U20"/>
    </row>
    <row r="21" spans="1:21" x14ac:dyDescent="0.25">
      <c r="C21" s="295" t="str">
        <f>'CB-17'!B21</f>
        <v>ASUS Laptop</v>
      </c>
      <c r="D21" s="460">
        <f t="shared" si="5"/>
        <v>0</v>
      </c>
      <c r="E21" s="273">
        <f t="shared" si="3"/>
        <v>0</v>
      </c>
      <c r="F21" s="274">
        <f>'CB-17'!E21</f>
        <v>0.5</v>
      </c>
      <c r="G21" s="298">
        <f>SUM(H21:S21)</f>
        <v>0</v>
      </c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U21"/>
    </row>
    <row r="22" spans="1:21" x14ac:dyDescent="0.25">
      <c r="C22" s="295" t="str">
        <f>'CB-17'!B22</f>
        <v>Mobile Device (samsung)</v>
      </c>
      <c r="D22" s="460">
        <f t="shared" si="5"/>
        <v>0</v>
      </c>
      <c r="E22" s="273">
        <f t="shared" si="3"/>
        <v>0</v>
      </c>
      <c r="F22" s="274">
        <f>'CB-17'!E22</f>
        <v>0.5</v>
      </c>
      <c r="G22" s="298">
        <f t="shared" ref="G22:G26" si="7">SUM(H22:S22)</f>
        <v>0</v>
      </c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U22"/>
    </row>
    <row r="23" spans="1:21" x14ac:dyDescent="0.25">
      <c r="C23" s="272" t="str">
        <f>'CB-17'!B23</f>
        <v>Cellphone Device</v>
      </c>
      <c r="D23" s="460">
        <f t="shared" si="5"/>
        <v>0</v>
      </c>
      <c r="E23" s="273">
        <f t="shared" si="3"/>
        <v>0</v>
      </c>
      <c r="F23" s="274">
        <f>'CB-17'!E23</f>
        <v>0.5</v>
      </c>
      <c r="G23" s="298">
        <f t="shared" si="7"/>
        <v>0</v>
      </c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U23"/>
    </row>
    <row r="24" spans="1:21" x14ac:dyDescent="0.25">
      <c r="C24" s="272" t="str">
        <f>'CB-17'!B24</f>
        <v>Supplies</v>
      </c>
      <c r="D24" s="460">
        <f t="shared" si="5"/>
        <v>0</v>
      </c>
      <c r="E24" s="273">
        <f t="shared" si="3"/>
        <v>0</v>
      </c>
      <c r="F24" s="274">
        <f>'CB-17'!E24</f>
        <v>1</v>
      </c>
      <c r="G24" s="298">
        <f t="shared" si="7"/>
        <v>0</v>
      </c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U24"/>
    </row>
    <row r="25" spans="1:21" x14ac:dyDescent="0.25">
      <c r="C25" s="272" t="str">
        <f>'CB-17'!B25</f>
        <v>Stationaries</v>
      </c>
      <c r="D25" s="460">
        <f t="shared" si="5"/>
        <v>0</v>
      </c>
      <c r="E25" s="273">
        <f t="shared" si="3"/>
        <v>0</v>
      </c>
      <c r="F25" s="274">
        <f>'CB-17'!E25</f>
        <v>1</v>
      </c>
      <c r="G25" s="298">
        <f t="shared" si="7"/>
        <v>0</v>
      </c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U25"/>
    </row>
    <row r="26" spans="1:21" x14ac:dyDescent="0.25">
      <c r="C26" s="272" t="str">
        <f>'CB-17'!B26</f>
        <v>Books</v>
      </c>
      <c r="D26" s="460">
        <f t="shared" si="5"/>
        <v>0</v>
      </c>
      <c r="E26" s="273">
        <f t="shared" si="3"/>
        <v>0</v>
      </c>
      <c r="F26" s="274">
        <f>'CB-17'!E26</f>
        <v>1</v>
      </c>
      <c r="G26" s="298">
        <f t="shared" si="7"/>
        <v>0</v>
      </c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U26"/>
    </row>
    <row r="27" spans="1:21" x14ac:dyDescent="0.25">
      <c r="C27" s="288" t="str">
        <f>'CB-17'!B27</f>
        <v>GOVERNMENT FEES</v>
      </c>
      <c r="D27" s="453">
        <f>SUM(D28:D34)</f>
        <v>5015.7700000000004</v>
      </c>
      <c r="E27" s="290" t="s">
        <v>60</v>
      </c>
      <c r="F27" s="290" t="s">
        <v>61</v>
      </c>
      <c r="G27" s="290" t="s">
        <v>62</v>
      </c>
      <c r="H27" s="290"/>
      <c r="I27" s="290"/>
      <c r="J27" s="290"/>
      <c r="K27" s="290"/>
      <c r="L27" s="290"/>
      <c r="M27" s="290"/>
      <c r="N27" s="290"/>
      <c r="O27" s="290"/>
      <c r="P27" s="290"/>
      <c r="Q27" s="290"/>
      <c r="R27" s="290"/>
      <c r="S27" s="290"/>
      <c r="U27"/>
    </row>
    <row r="28" spans="1:21" x14ac:dyDescent="0.25">
      <c r="B28" t="e">
        <f>#REF!</f>
        <v>#REF!</v>
      </c>
      <c r="C28" s="272" t="str">
        <f>'CB-17'!B28</f>
        <v>Biz Registration</v>
      </c>
      <c r="D28" s="298">
        <f t="shared" ref="D28:D44" si="8">G28</f>
        <v>0</v>
      </c>
      <c r="E28" s="273">
        <f t="shared" si="3"/>
        <v>0</v>
      </c>
      <c r="F28" s="274">
        <f>'CB-17'!E28</f>
        <v>1</v>
      </c>
      <c r="G28" s="298">
        <f>SUM(H28:S28)</f>
        <v>0</v>
      </c>
      <c r="H28" s="294"/>
      <c r="I28" s="294"/>
      <c r="J28" s="294"/>
      <c r="K28" s="294"/>
      <c r="L28" s="294"/>
      <c r="M28" s="294"/>
      <c r="N28" s="294"/>
      <c r="O28" s="294"/>
      <c r="P28" s="294"/>
      <c r="Q28" s="294"/>
      <c r="R28" s="294"/>
      <c r="S28" s="294"/>
      <c r="U28"/>
    </row>
    <row r="29" spans="1:21" x14ac:dyDescent="0.25">
      <c r="C29" s="272" t="str">
        <f>'CB-18'!B29</f>
        <v>Licensing</v>
      </c>
      <c r="D29" s="298">
        <f t="shared" si="8"/>
        <v>0</v>
      </c>
      <c r="E29" s="273">
        <f t="shared" si="3"/>
        <v>0</v>
      </c>
      <c r="F29" s="274">
        <f>'CB-17'!E29</f>
        <v>1</v>
      </c>
      <c r="G29" s="298">
        <f t="shared" ref="G29:G58" si="9">SUM(H29:S29)</f>
        <v>0</v>
      </c>
      <c r="H29" s="294"/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U29"/>
    </row>
    <row r="30" spans="1:21" x14ac:dyDescent="0.25">
      <c r="B30" s="219"/>
      <c r="C30" s="272" t="str">
        <f>'CB-17'!B30</f>
        <v>WA DOR Excise Tax</v>
      </c>
      <c r="D30" s="298">
        <f t="shared" si="8"/>
        <v>3838.61</v>
      </c>
      <c r="E30" s="273">
        <f t="shared" si="3"/>
        <v>3838.61</v>
      </c>
      <c r="F30" s="274">
        <f>'CB-17'!E30</f>
        <v>1</v>
      </c>
      <c r="G30" s="298">
        <f t="shared" si="9"/>
        <v>3838.61</v>
      </c>
      <c r="H30" s="294">
        <v>911.59</v>
      </c>
      <c r="I30" s="294">
        <v>559.19000000000005</v>
      </c>
      <c r="J30" s="293">
        <v>542.87</v>
      </c>
      <c r="K30" s="327">
        <v>421.88</v>
      </c>
      <c r="L30" s="294">
        <v>326.25</v>
      </c>
      <c r="M30" s="294"/>
      <c r="N30" s="294">
        <f>478.79+517.5</f>
        <v>996.29</v>
      </c>
      <c r="O30" s="294"/>
      <c r="P30" s="294"/>
      <c r="Q30" s="294"/>
      <c r="R30" s="294">
        <v>80.540000000000006</v>
      </c>
      <c r="S30" s="294"/>
      <c r="U30"/>
    </row>
    <row r="31" spans="1:21" x14ac:dyDescent="0.25">
      <c r="B31" s="219"/>
      <c r="C31" s="272" t="str">
        <f>'CB-17'!B31</f>
        <v>Garnishment Fee</v>
      </c>
      <c r="D31" s="298">
        <f t="shared" si="8"/>
        <v>250</v>
      </c>
      <c r="E31" s="273">
        <f t="shared" si="3"/>
        <v>250</v>
      </c>
      <c r="F31" s="274">
        <f>'CB-17'!E31</f>
        <v>1</v>
      </c>
      <c r="G31" s="298">
        <f t="shared" si="9"/>
        <v>250</v>
      </c>
      <c r="H31" s="294">
        <v>125</v>
      </c>
      <c r="I31" s="294"/>
      <c r="J31" s="294"/>
      <c r="K31" s="294"/>
      <c r="L31" s="294"/>
      <c r="M31" s="294"/>
      <c r="N31" s="294"/>
      <c r="O31" s="294"/>
      <c r="P31" s="294">
        <v>125</v>
      </c>
      <c r="Q31" s="294"/>
      <c r="R31" s="294"/>
      <c r="S31" s="294"/>
      <c r="U31"/>
    </row>
    <row r="32" spans="1:21" x14ac:dyDescent="0.25">
      <c r="B32" s="219"/>
      <c r="C32" s="272" t="str">
        <f>'CB-17'!B32</f>
        <v>LNI Insurance</v>
      </c>
      <c r="D32" s="298">
        <f t="shared" si="8"/>
        <v>207.45</v>
      </c>
      <c r="E32" s="273">
        <f t="shared" si="3"/>
        <v>207.45</v>
      </c>
      <c r="F32" s="274">
        <f>'CB-17'!E32</f>
        <v>1</v>
      </c>
      <c r="G32" s="298">
        <f t="shared" si="9"/>
        <v>207.45</v>
      </c>
      <c r="H32" s="294">
        <v>207.45</v>
      </c>
      <c r="I32" s="294"/>
      <c r="J32" s="294"/>
      <c r="K32" s="294"/>
      <c r="L32" s="294"/>
      <c r="M32" s="294"/>
      <c r="N32" s="294"/>
      <c r="O32" s="294"/>
      <c r="P32" s="294"/>
      <c r="Q32" s="294"/>
      <c r="R32" s="294"/>
      <c r="S32" s="294"/>
      <c r="U32"/>
    </row>
    <row r="33" spans="2:21" x14ac:dyDescent="0.25">
      <c r="B33" s="219"/>
      <c r="C33" s="272" t="str">
        <f>'CB-17'!B33</f>
        <v>WA Employment Security</v>
      </c>
      <c r="D33" s="298">
        <f t="shared" si="8"/>
        <v>719.71</v>
      </c>
      <c r="E33" s="273">
        <f t="shared" si="3"/>
        <v>719.71</v>
      </c>
      <c r="F33" s="274">
        <f>'CB-17'!E33</f>
        <v>1</v>
      </c>
      <c r="G33" s="298">
        <f t="shared" si="9"/>
        <v>719.71</v>
      </c>
      <c r="H33" s="294"/>
      <c r="I33" s="294"/>
      <c r="J33" s="294"/>
      <c r="K33" s="294"/>
      <c r="L33" s="294"/>
      <c r="M33" s="294"/>
      <c r="N33" s="294"/>
      <c r="O33" s="294"/>
      <c r="P33" s="294">
        <v>719.71</v>
      </c>
      <c r="Q33" s="294"/>
      <c r="R33" s="294"/>
      <c r="S33" s="294"/>
      <c r="U33"/>
    </row>
    <row r="34" spans="2:21" x14ac:dyDescent="0.25">
      <c r="C34" s="272" t="str">
        <f>'CB-17'!B34</f>
        <v>Commercial Insurance</v>
      </c>
      <c r="D34" s="298">
        <f t="shared" si="8"/>
        <v>0</v>
      </c>
      <c r="E34" s="273">
        <f t="shared" si="3"/>
        <v>0</v>
      </c>
      <c r="F34" s="274">
        <f>'CB-17'!E34</f>
        <v>1</v>
      </c>
      <c r="G34" s="298">
        <f t="shared" si="9"/>
        <v>0</v>
      </c>
      <c r="H34" s="294"/>
      <c r="I34" s="294"/>
      <c r="J34" s="294"/>
      <c r="K34" s="294"/>
      <c r="L34" s="294"/>
      <c r="M34" s="294"/>
      <c r="N34" s="294"/>
      <c r="O34" s="294"/>
      <c r="P34" s="294"/>
      <c r="Q34" s="294"/>
      <c r="R34" s="294"/>
      <c r="S34" s="294"/>
      <c r="U34"/>
    </row>
    <row r="35" spans="2:21" x14ac:dyDescent="0.25">
      <c r="C35" s="288" t="str">
        <f>'CB-17'!B35</f>
        <v>PROFESSIONAL SERVICES</v>
      </c>
      <c r="D35" s="453">
        <f>SUM(D36:D44)</f>
        <v>245.85000000000002</v>
      </c>
      <c r="E35" s="290" t="s">
        <v>60</v>
      </c>
      <c r="F35" s="290" t="s">
        <v>61</v>
      </c>
      <c r="G35" s="290" t="s">
        <v>62</v>
      </c>
      <c r="H35" s="288"/>
      <c r="I35" s="288"/>
      <c r="J35" s="288"/>
      <c r="K35" s="288"/>
      <c r="L35" s="288"/>
      <c r="M35" s="288"/>
      <c r="N35" s="288"/>
      <c r="O35" s="288"/>
      <c r="P35" s="288"/>
      <c r="Q35" s="288"/>
      <c r="R35" s="288"/>
      <c r="S35" s="288"/>
      <c r="U35"/>
    </row>
    <row r="36" spans="2:21" x14ac:dyDescent="0.25">
      <c r="C36" s="272" t="str">
        <f>'CB-17'!B36</f>
        <v>Web Domains</v>
      </c>
      <c r="D36" s="298">
        <f t="shared" si="8"/>
        <v>0</v>
      </c>
      <c r="E36" s="273">
        <f t="shared" si="3"/>
        <v>0</v>
      </c>
      <c r="F36" s="274">
        <f>'CB-17'!E36</f>
        <v>1</v>
      </c>
      <c r="G36" s="298">
        <f t="shared" si="9"/>
        <v>0</v>
      </c>
      <c r="H36" s="294"/>
      <c r="I36" s="294"/>
      <c r="J36" s="294"/>
      <c r="K36" s="294"/>
      <c r="L36" s="294"/>
      <c r="M36" s="294"/>
      <c r="N36" s="294"/>
      <c r="O36" s="294"/>
      <c r="P36" s="294"/>
      <c r="Q36" s="294"/>
      <c r="R36" s="294"/>
      <c r="S36" s="294"/>
      <c r="U36"/>
    </row>
    <row r="37" spans="2:21" x14ac:dyDescent="0.25">
      <c r="C37" s="272" t="str">
        <f>'CB-17'!B37</f>
        <v>Web Hosting</v>
      </c>
      <c r="D37" s="298">
        <f t="shared" si="8"/>
        <v>0</v>
      </c>
      <c r="E37" s="273">
        <f t="shared" si="3"/>
        <v>0</v>
      </c>
      <c r="F37" s="274">
        <f>'CB-17'!E37</f>
        <v>1</v>
      </c>
      <c r="G37" s="298">
        <f t="shared" si="9"/>
        <v>0</v>
      </c>
      <c r="H37" s="294"/>
      <c r="I37" s="294"/>
      <c r="J37" s="294"/>
      <c r="K37" s="294"/>
      <c r="L37" s="294"/>
      <c r="M37" s="294"/>
      <c r="N37" s="294"/>
      <c r="O37" s="294"/>
      <c r="P37" s="294"/>
      <c r="Q37" s="294"/>
      <c r="R37" s="294"/>
      <c r="S37" s="294"/>
      <c r="U37"/>
    </row>
    <row r="38" spans="2:21" x14ac:dyDescent="0.25">
      <c r="C38" s="272" t="str">
        <f>'CB-17'!B38</f>
        <v>Digital Ads</v>
      </c>
      <c r="D38" s="298">
        <f t="shared" si="8"/>
        <v>0</v>
      </c>
      <c r="E38" s="273">
        <f t="shared" si="3"/>
        <v>0</v>
      </c>
      <c r="F38" s="274">
        <f>'CB-17'!E38</f>
        <v>1</v>
      </c>
      <c r="G38" s="298">
        <f t="shared" si="9"/>
        <v>0</v>
      </c>
      <c r="H38" s="294"/>
      <c r="I38" s="294"/>
      <c r="J38" s="294"/>
      <c r="K38" s="294"/>
      <c r="L38" s="294"/>
      <c r="M38" s="294"/>
      <c r="N38" s="294"/>
      <c r="O38" s="294"/>
      <c r="P38" s="294"/>
      <c r="Q38" s="294"/>
      <c r="R38" s="294"/>
      <c r="S38" s="294"/>
      <c r="U38"/>
    </row>
    <row r="39" spans="2:21" x14ac:dyDescent="0.25">
      <c r="C39" s="272" t="str">
        <f>'CB-17'!B39</f>
        <v>Logo Services</v>
      </c>
      <c r="D39" s="298">
        <f t="shared" si="8"/>
        <v>0</v>
      </c>
      <c r="E39" s="273">
        <f t="shared" si="3"/>
        <v>0</v>
      </c>
      <c r="F39" s="274">
        <f>'CB-17'!E39</f>
        <v>1</v>
      </c>
      <c r="G39" s="298">
        <f t="shared" si="9"/>
        <v>0</v>
      </c>
      <c r="H39" s="294"/>
      <c r="I39" s="294"/>
      <c r="J39" s="294"/>
      <c r="K39" s="294"/>
      <c r="L39" s="294"/>
      <c r="M39" s="294"/>
      <c r="N39" s="294"/>
      <c r="O39" s="294"/>
      <c r="P39" s="294"/>
      <c r="Q39" s="294"/>
      <c r="R39" s="294"/>
      <c r="S39" s="294"/>
      <c r="U39"/>
    </row>
    <row r="40" spans="2:21" x14ac:dyDescent="0.25">
      <c r="C40" s="272" t="str">
        <f>'CB-17'!B40</f>
        <v>Temp Services</v>
      </c>
      <c r="D40" s="298">
        <f t="shared" si="8"/>
        <v>0</v>
      </c>
      <c r="E40" s="273">
        <f t="shared" si="3"/>
        <v>0</v>
      </c>
      <c r="F40" s="274">
        <f>'CB-17'!E40</f>
        <v>1</v>
      </c>
      <c r="G40" s="298">
        <f t="shared" si="9"/>
        <v>0</v>
      </c>
      <c r="H40" s="294"/>
      <c r="I40" s="294"/>
      <c r="J40" s="294"/>
      <c r="K40" s="294"/>
      <c r="L40" s="294"/>
      <c r="M40" s="294"/>
      <c r="N40" s="294"/>
      <c r="O40" s="294"/>
      <c r="P40" s="294"/>
      <c r="Q40" s="294"/>
      <c r="R40" s="294"/>
      <c r="S40" s="294"/>
      <c r="U40"/>
    </row>
    <row r="41" spans="2:21" x14ac:dyDescent="0.25">
      <c r="C41" s="272" t="str">
        <f>'CB-17'!B41</f>
        <v>Professional Services</v>
      </c>
      <c r="D41" s="298">
        <f t="shared" si="8"/>
        <v>0</v>
      </c>
      <c r="E41" s="273">
        <f t="shared" si="3"/>
        <v>0</v>
      </c>
      <c r="F41" s="274">
        <f>'CB-17'!E41</f>
        <v>1</v>
      </c>
      <c r="G41" s="298">
        <f t="shared" si="9"/>
        <v>0</v>
      </c>
      <c r="H41" s="294"/>
      <c r="I41" s="294"/>
      <c r="J41" s="294"/>
      <c r="K41" s="294"/>
      <c r="L41" s="294"/>
      <c r="M41" s="294"/>
      <c r="N41" s="294"/>
      <c r="O41" s="294"/>
      <c r="P41" s="294"/>
      <c r="Q41" s="294"/>
      <c r="R41" s="294"/>
      <c r="S41" s="294"/>
      <c r="U41"/>
    </row>
    <row r="42" spans="2:21" x14ac:dyDescent="0.25">
      <c r="C42" s="272" t="str">
        <f>'CB-17'!B42</f>
        <v>Bank Fees</v>
      </c>
      <c r="D42" s="298">
        <f t="shared" si="8"/>
        <v>245.85000000000002</v>
      </c>
      <c r="E42" s="273">
        <f t="shared" si="3"/>
        <v>245.85000000000002</v>
      </c>
      <c r="F42" s="274">
        <f>'CB-17'!E42</f>
        <v>1</v>
      </c>
      <c r="G42" s="298">
        <f t="shared" si="9"/>
        <v>245.85000000000002</v>
      </c>
      <c r="H42" s="294">
        <v>1.25</v>
      </c>
      <c r="I42" s="294">
        <f>35+35+1.25</f>
        <v>71.25</v>
      </c>
      <c r="J42" s="294">
        <f>3.75+10</f>
        <v>13.75</v>
      </c>
      <c r="K42" s="294"/>
      <c r="L42" s="294">
        <v>2.5</v>
      </c>
      <c r="M42" s="294">
        <f>2.5+2.93+1.25</f>
        <v>6.68</v>
      </c>
      <c r="N42" s="294">
        <f>2.5+2.5+2.5+2.5+2.92+2.9*3+2.99+3.45+3.63*2+2.5+2.99+3.45+2.5+2.5+6+3.46*2+2.5*2+2.99*2+3.45*2+2.5*2+2.99*2+3.44*2+2.5*2+2.98*2+3.64*2+5+5.8</f>
        <v>126.96000000000001</v>
      </c>
      <c r="O42" s="294">
        <f>2.5*3+2.91+3.55+1.25</f>
        <v>15.21</v>
      </c>
      <c r="P42" s="294">
        <v>8.25</v>
      </c>
      <c r="Q42" s="294"/>
      <c r="R42" s="294"/>
      <c r="S42" s="294"/>
      <c r="U42"/>
    </row>
    <row r="43" spans="2:21" x14ac:dyDescent="0.25">
      <c r="C43" s="272" t="str">
        <f>'CB-17'!B43</f>
        <v>Legal Membership</v>
      </c>
      <c r="D43" s="298">
        <f t="shared" si="8"/>
        <v>0</v>
      </c>
      <c r="E43" s="273">
        <f t="shared" si="3"/>
        <v>0</v>
      </c>
      <c r="F43" s="274">
        <f>'CB-17'!E43</f>
        <v>1</v>
      </c>
      <c r="G43" s="298">
        <f t="shared" si="9"/>
        <v>0</v>
      </c>
      <c r="H43" s="294"/>
      <c r="I43" s="294"/>
      <c r="J43" s="294"/>
      <c r="K43" s="294"/>
      <c r="L43" s="294"/>
      <c r="M43" s="294"/>
      <c r="N43" s="294"/>
      <c r="O43" s="294"/>
      <c r="P43" s="294"/>
      <c r="Q43" s="294"/>
      <c r="R43" s="294"/>
      <c r="S43" s="294"/>
      <c r="U43"/>
    </row>
    <row r="44" spans="2:21" x14ac:dyDescent="0.25">
      <c r="C44" s="272" t="str">
        <f>'CB-17'!B44</f>
        <v>Business Insurance</v>
      </c>
      <c r="D44" s="298">
        <f t="shared" si="8"/>
        <v>0</v>
      </c>
      <c r="E44" s="273">
        <f t="shared" si="3"/>
        <v>0</v>
      </c>
      <c r="F44" s="274">
        <f>'CB-17'!E44</f>
        <v>1</v>
      </c>
      <c r="G44" s="298">
        <f t="shared" si="9"/>
        <v>0</v>
      </c>
      <c r="H44" s="294"/>
      <c r="I44" s="294"/>
      <c r="J44" s="294"/>
      <c r="K44" s="294"/>
      <c r="L44" s="294"/>
      <c r="M44" s="294"/>
      <c r="N44" s="294"/>
      <c r="O44" s="294"/>
      <c r="P44" s="294"/>
      <c r="Q44" s="294"/>
      <c r="R44" s="294"/>
      <c r="S44" s="294"/>
      <c r="U44"/>
    </row>
    <row r="45" spans="2:21" x14ac:dyDescent="0.25">
      <c r="C45" s="288" t="str">
        <f>'CB-17'!B45</f>
        <v>SUBSCRIPTIONS</v>
      </c>
      <c r="D45" s="453">
        <f>SUM(D46:D58)</f>
        <v>0</v>
      </c>
      <c r="E45" s="290" t="s">
        <v>60</v>
      </c>
      <c r="F45" s="290" t="s">
        <v>61</v>
      </c>
      <c r="G45" s="290" t="s">
        <v>62</v>
      </c>
      <c r="H45" s="288"/>
      <c r="I45" s="288"/>
      <c r="J45" s="288"/>
      <c r="K45" s="288"/>
      <c r="L45" s="288"/>
      <c r="M45" s="288"/>
      <c r="N45" s="288"/>
      <c r="O45" s="288"/>
      <c r="P45" s="288"/>
      <c r="Q45" s="288"/>
      <c r="R45" s="288"/>
      <c r="S45" s="288"/>
      <c r="U45"/>
    </row>
    <row r="46" spans="2:21" x14ac:dyDescent="0.25">
      <c r="C46" s="272" t="str">
        <f>'CB-17'!B46</f>
        <v>Apple.com</v>
      </c>
      <c r="D46" s="460">
        <f>E46</f>
        <v>0</v>
      </c>
      <c r="E46" s="322">
        <f>F46*G46</f>
        <v>0</v>
      </c>
      <c r="F46" s="274">
        <v>0.5</v>
      </c>
      <c r="G46" s="298">
        <f t="shared" si="9"/>
        <v>0</v>
      </c>
      <c r="H46" s="278"/>
      <c r="I46" s="278"/>
      <c r="J46" s="278"/>
      <c r="K46" s="278"/>
      <c r="L46" s="278"/>
      <c r="M46" s="278"/>
      <c r="N46" s="278"/>
      <c r="O46" s="278"/>
      <c r="P46" s="278"/>
      <c r="Q46" s="278"/>
      <c r="R46" s="278"/>
      <c r="S46" s="278"/>
      <c r="U46"/>
    </row>
    <row r="47" spans="2:21" x14ac:dyDescent="0.25">
      <c r="C47" s="272" t="str">
        <f>'CB-17'!B47</f>
        <v>Audible.com</v>
      </c>
      <c r="D47" s="460">
        <f t="shared" ref="D47:D58" si="10">E47</f>
        <v>0</v>
      </c>
      <c r="E47" s="322">
        <f t="shared" ref="E47:E58" si="11">F47*G47</f>
        <v>0</v>
      </c>
      <c r="F47" s="274">
        <v>1</v>
      </c>
      <c r="G47" s="298">
        <f t="shared" si="9"/>
        <v>0</v>
      </c>
      <c r="H47" s="278"/>
      <c r="I47" s="278"/>
      <c r="J47" s="278"/>
      <c r="K47" s="278"/>
      <c r="L47" s="278"/>
      <c r="M47" s="278"/>
      <c r="N47" s="278"/>
      <c r="O47" s="278"/>
      <c r="P47" s="278"/>
      <c r="Q47" s="278"/>
      <c r="R47" s="278"/>
      <c r="S47" s="278"/>
      <c r="U47"/>
    </row>
    <row r="48" spans="2:21" x14ac:dyDescent="0.25">
      <c r="C48" s="272" t="str">
        <f>'CB-17'!B48</f>
        <v>Amazon</v>
      </c>
      <c r="D48" s="460">
        <f t="shared" si="10"/>
        <v>0</v>
      </c>
      <c r="E48" s="322">
        <f t="shared" si="11"/>
        <v>0</v>
      </c>
      <c r="F48" s="274">
        <v>0.5</v>
      </c>
      <c r="G48" s="298">
        <f t="shared" si="9"/>
        <v>0</v>
      </c>
      <c r="H48" s="278"/>
      <c r="I48" s="278"/>
      <c r="J48" s="278"/>
      <c r="K48" s="278"/>
      <c r="L48" s="278"/>
      <c r="M48" s="278"/>
      <c r="N48" s="278"/>
      <c r="O48" s="278"/>
      <c r="P48" s="278"/>
      <c r="Q48" s="278"/>
      <c r="R48" s="278"/>
      <c r="S48" s="278"/>
      <c r="U48"/>
    </row>
    <row r="49" spans="3:21" x14ac:dyDescent="0.25">
      <c r="C49" s="272" t="str">
        <f>'CB-17'!B49</f>
        <v>Cloud Academy</v>
      </c>
      <c r="D49" s="460">
        <f t="shared" si="10"/>
        <v>0</v>
      </c>
      <c r="E49" s="322">
        <f t="shared" si="11"/>
        <v>0</v>
      </c>
      <c r="F49" s="274">
        <v>1</v>
      </c>
      <c r="G49" s="298">
        <f t="shared" si="9"/>
        <v>0</v>
      </c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U49"/>
    </row>
    <row r="50" spans="3:21" x14ac:dyDescent="0.25">
      <c r="C50" s="272" t="str">
        <f>'CB-17'!B50</f>
        <v>Packt</v>
      </c>
      <c r="D50" s="460">
        <f t="shared" si="10"/>
        <v>0</v>
      </c>
      <c r="E50" s="322">
        <f t="shared" si="11"/>
        <v>0</v>
      </c>
      <c r="F50" s="274">
        <v>1</v>
      </c>
      <c r="G50" s="298">
        <f t="shared" si="9"/>
        <v>0</v>
      </c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U50"/>
    </row>
    <row r="51" spans="3:21" x14ac:dyDescent="0.25">
      <c r="C51" s="272" t="str">
        <f>'CB-17'!B51</f>
        <v>Pluralsight</v>
      </c>
      <c r="D51" s="460">
        <f t="shared" si="10"/>
        <v>0</v>
      </c>
      <c r="E51" s="322">
        <f t="shared" si="11"/>
        <v>0</v>
      </c>
      <c r="F51" s="274">
        <v>1</v>
      </c>
      <c r="G51" s="298">
        <f t="shared" si="9"/>
        <v>0</v>
      </c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U51"/>
    </row>
    <row r="52" spans="3:21" x14ac:dyDescent="0.25">
      <c r="C52" s="272" t="str">
        <f>'CB-17'!B52</f>
        <v>Linux Academy</v>
      </c>
      <c r="D52" s="460">
        <f t="shared" si="10"/>
        <v>0</v>
      </c>
      <c r="E52" s="322">
        <f t="shared" si="11"/>
        <v>0</v>
      </c>
      <c r="F52" s="274">
        <v>1</v>
      </c>
      <c r="G52" s="298">
        <f t="shared" si="9"/>
        <v>0</v>
      </c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U52"/>
    </row>
    <row r="53" spans="3:21" x14ac:dyDescent="0.25">
      <c r="C53" s="272" t="str">
        <f>'CB-17'!B53</f>
        <v>Adobe</v>
      </c>
      <c r="D53" s="460">
        <f t="shared" si="10"/>
        <v>0</v>
      </c>
      <c r="E53" s="322">
        <f t="shared" si="11"/>
        <v>0</v>
      </c>
      <c r="F53" s="274">
        <v>1</v>
      </c>
      <c r="G53" s="298">
        <f t="shared" si="9"/>
        <v>0</v>
      </c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U53"/>
    </row>
    <row r="54" spans="3:21" x14ac:dyDescent="0.25">
      <c r="C54" s="272" t="str">
        <f>'CB-17'!B54</f>
        <v>O365</v>
      </c>
      <c r="D54" s="460">
        <f t="shared" si="10"/>
        <v>0</v>
      </c>
      <c r="E54" s="322">
        <f t="shared" si="11"/>
        <v>0</v>
      </c>
      <c r="F54" s="274">
        <v>1</v>
      </c>
      <c r="G54" s="298">
        <f t="shared" si="9"/>
        <v>0</v>
      </c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U54"/>
    </row>
    <row r="55" spans="3:21" x14ac:dyDescent="0.25">
      <c r="C55" s="272" t="str">
        <f>'CB-17'!B55</f>
        <v>Microsoft Alumni</v>
      </c>
      <c r="D55" s="460">
        <f t="shared" si="10"/>
        <v>0</v>
      </c>
      <c r="E55" s="322">
        <f t="shared" si="11"/>
        <v>0</v>
      </c>
      <c r="F55" s="274">
        <v>1</v>
      </c>
      <c r="G55" s="298">
        <f t="shared" si="9"/>
        <v>0</v>
      </c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U55"/>
    </row>
    <row r="56" spans="3:21" x14ac:dyDescent="0.25">
      <c r="C56" s="295" t="str">
        <f>'CB-17'!B56</f>
        <v>LinkedIn</v>
      </c>
      <c r="D56" s="460">
        <f t="shared" si="10"/>
        <v>0</v>
      </c>
      <c r="E56" s="322">
        <f t="shared" si="11"/>
        <v>0</v>
      </c>
      <c r="F56" s="274">
        <v>1</v>
      </c>
      <c r="G56" s="298">
        <f t="shared" si="9"/>
        <v>0</v>
      </c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U56"/>
    </row>
    <row r="57" spans="3:21" x14ac:dyDescent="0.25">
      <c r="C57" s="295" t="str">
        <f>'CB-17'!B57</f>
        <v>DOODLY</v>
      </c>
      <c r="D57" s="460">
        <f t="shared" si="10"/>
        <v>0</v>
      </c>
      <c r="E57" s="322">
        <f t="shared" si="11"/>
        <v>0</v>
      </c>
      <c r="F57" s="274">
        <v>1</v>
      </c>
      <c r="G57" s="298">
        <f t="shared" si="9"/>
        <v>0</v>
      </c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U57"/>
    </row>
    <row r="58" spans="3:21" x14ac:dyDescent="0.25">
      <c r="C58" s="272" t="str">
        <f>'CB-17'!B58</f>
        <v>Whizlabs</v>
      </c>
      <c r="D58" s="460">
        <f t="shared" si="10"/>
        <v>0</v>
      </c>
      <c r="E58" s="322">
        <f t="shared" si="11"/>
        <v>0</v>
      </c>
      <c r="F58" s="274">
        <v>1</v>
      </c>
      <c r="G58" s="298">
        <f t="shared" si="9"/>
        <v>0</v>
      </c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U58"/>
    </row>
    <row r="59" spans="3:21" x14ac:dyDescent="0.25">
      <c r="C59" s="288" t="s">
        <v>126</v>
      </c>
      <c r="D59" s="453">
        <f>D60</f>
        <v>0</v>
      </c>
      <c r="E59" s="290" t="s">
        <v>60</v>
      </c>
      <c r="F59" s="290" t="s">
        <v>61</v>
      </c>
      <c r="G59" s="290" t="s">
        <v>62</v>
      </c>
      <c r="H59" s="288"/>
      <c r="I59" s="288"/>
      <c r="J59" s="288"/>
      <c r="K59" s="288"/>
      <c r="L59" s="288"/>
      <c r="M59" s="288"/>
      <c r="N59" s="288"/>
      <c r="O59" s="288"/>
      <c r="P59" s="288"/>
      <c r="Q59" s="288"/>
      <c r="R59" s="288"/>
      <c r="S59" s="288"/>
      <c r="U59"/>
    </row>
    <row r="60" spans="3:21" x14ac:dyDescent="0.25">
      <c r="C60" s="454" t="str">
        <f>C1 &amp; " IRS rate"</f>
        <v>2019 IRS rate</v>
      </c>
      <c r="D60" s="527">
        <f>E60</f>
        <v>0</v>
      </c>
      <c r="E60" s="322">
        <f>F60*G60</f>
        <v>0</v>
      </c>
      <c r="F60" s="455">
        <v>0.54500000000000004</v>
      </c>
      <c r="G60" s="474">
        <f>SUM(H60:S60)</f>
        <v>0</v>
      </c>
      <c r="H60" s="294"/>
      <c r="I60" s="294"/>
      <c r="J60" s="294"/>
      <c r="K60" s="294"/>
      <c r="L60" s="294"/>
      <c r="M60" s="294"/>
      <c r="N60" s="294"/>
      <c r="O60" s="294"/>
      <c r="P60" s="294"/>
      <c r="Q60" s="294"/>
      <c r="R60" s="294"/>
      <c r="S60" s="294"/>
      <c r="U60"/>
    </row>
    <row r="61" spans="3:21" x14ac:dyDescent="0.25">
      <c r="C61" s="288" t="str">
        <f>'CB-17'!B61</f>
        <v>SETUP EXPENSES</v>
      </c>
      <c r="D61" s="458"/>
      <c r="E61" s="288"/>
      <c r="F61" s="288"/>
      <c r="G61" s="288"/>
      <c r="H61" s="288"/>
      <c r="I61" s="288"/>
      <c r="J61" s="288"/>
      <c r="K61" s="288"/>
      <c r="L61" s="288"/>
      <c r="M61" s="288"/>
      <c r="N61" s="288"/>
      <c r="O61" s="288"/>
      <c r="P61" s="288"/>
      <c r="Q61" s="288"/>
      <c r="R61" s="288"/>
      <c r="S61" s="288"/>
      <c r="U61"/>
    </row>
    <row r="62" spans="3:21" x14ac:dyDescent="0.25">
      <c r="C62" s="288" t="str">
        <f>'CB-17'!B62</f>
        <v>WOODRIDGE OFFICE RENOVATION</v>
      </c>
      <c r="D62" s="453">
        <f>SUM(D63:D66)</f>
        <v>0</v>
      </c>
      <c r="E62" s="290" t="s">
        <v>60</v>
      </c>
      <c r="F62" s="290" t="s">
        <v>61</v>
      </c>
      <c r="G62" s="290" t="s">
        <v>62</v>
      </c>
      <c r="H62" s="288"/>
      <c r="I62" s="459"/>
      <c r="J62" s="288"/>
      <c r="K62" s="288"/>
      <c r="L62" s="288"/>
      <c r="M62" s="288"/>
      <c r="N62" s="288"/>
      <c r="O62" s="288"/>
      <c r="P62" s="288"/>
      <c r="Q62" s="288"/>
      <c r="R62" s="288"/>
      <c r="S62" s="288"/>
      <c r="U62"/>
    </row>
    <row r="63" spans="3:21" x14ac:dyDescent="0.25">
      <c r="C63" s="272" t="str">
        <f>'CB-17'!B63</f>
        <v>Flooring</v>
      </c>
      <c r="D63" s="460">
        <f>E63</f>
        <v>0</v>
      </c>
      <c r="E63" s="322">
        <f>F63*G63</f>
        <v>0</v>
      </c>
      <c r="F63" s="274">
        <v>1</v>
      </c>
      <c r="G63" s="275">
        <f t="shared" ref="G63:G66" si="12">SUM(H63:S63)</f>
        <v>0</v>
      </c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U63"/>
    </row>
    <row r="64" spans="3:21" x14ac:dyDescent="0.25">
      <c r="C64" s="272" t="str">
        <f>'CB-17'!B64</f>
        <v>Paint</v>
      </c>
      <c r="D64" s="460">
        <f>E64</f>
        <v>0</v>
      </c>
      <c r="E64" s="322">
        <f>F64*G64</f>
        <v>0</v>
      </c>
      <c r="F64" s="274">
        <v>1</v>
      </c>
      <c r="G64" s="275">
        <f t="shared" si="12"/>
        <v>0</v>
      </c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U64"/>
    </row>
    <row r="65" spans="3:21" x14ac:dyDescent="0.25">
      <c r="C65" s="272" t="str">
        <f>'CB-17'!B65</f>
        <v>bathroom</v>
      </c>
      <c r="D65" s="460">
        <f>E65</f>
        <v>0</v>
      </c>
      <c r="E65" s="322">
        <f>F65*G65</f>
        <v>0</v>
      </c>
      <c r="F65" s="274">
        <v>1</v>
      </c>
      <c r="G65" s="275">
        <f t="shared" si="12"/>
        <v>0</v>
      </c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U65"/>
    </row>
    <row r="66" spans="3:21" x14ac:dyDescent="0.25">
      <c r="C66" s="272" t="str">
        <f>'CB-17'!B66</f>
        <v>electrical work</v>
      </c>
      <c r="D66" s="460">
        <f>E66</f>
        <v>0</v>
      </c>
      <c r="E66" s="322">
        <f>F66*G66</f>
        <v>0</v>
      </c>
      <c r="F66" s="274">
        <v>1</v>
      </c>
      <c r="G66" s="275">
        <f t="shared" si="12"/>
        <v>0</v>
      </c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U66"/>
    </row>
    <row r="67" spans="3:21" x14ac:dyDescent="0.25">
      <c r="C67" s="288" t="str">
        <f>'CB-17'!B67</f>
        <v>INDIA OFFICE RENOVATION</v>
      </c>
      <c r="D67" s="453">
        <f>SUM(D68:D70)</f>
        <v>0</v>
      </c>
      <c r="E67" s="290" t="s">
        <v>60</v>
      </c>
      <c r="F67" s="290" t="s">
        <v>61</v>
      </c>
      <c r="G67" s="290" t="s">
        <v>62</v>
      </c>
      <c r="H67" s="288"/>
      <c r="I67" s="288"/>
      <c r="J67" s="288"/>
      <c r="K67" s="288"/>
      <c r="L67" s="288"/>
      <c r="M67" s="288"/>
      <c r="N67" s="288"/>
      <c r="O67" s="288"/>
      <c r="P67" s="288"/>
      <c r="Q67" s="288"/>
      <c r="R67" s="288"/>
      <c r="S67" s="288"/>
      <c r="U67"/>
    </row>
    <row r="68" spans="3:21" x14ac:dyDescent="0.25">
      <c r="C68" s="295" t="str">
        <f>'CB-17'!B68</f>
        <v>faucets</v>
      </c>
      <c r="D68" s="460">
        <f>E68</f>
        <v>0</v>
      </c>
      <c r="E68" s="322">
        <f>F68*G68</f>
        <v>0</v>
      </c>
      <c r="F68" s="274">
        <v>1</v>
      </c>
      <c r="G68" s="298">
        <f>SUM(H68:S68)</f>
        <v>0</v>
      </c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U68"/>
    </row>
    <row r="69" spans="3:21" x14ac:dyDescent="0.25">
      <c r="C69" s="295" t="str">
        <f>'CB-17'!B69</f>
        <v>furniture</v>
      </c>
      <c r="D69" s="460">
        <f t="shared" ref="D69:D75" si="13">E69</f>
        <v>0</v>
      </c>
      <c r="E69" s="322">
        <f t="shared" ref="E69:E70" si="14">F69*G69</f>
        <v>0</v>
      </c>
      <c r="F69" s="274">
        <v>1</v>
      </c>
      <c r="G69" s="298">
        <f t="shared" ref="G69:G70" si="15">SUM(H69:S69)</f>
        <v>0</v>
      </c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U69"/>
    </row>
    <row r="70" spans="3:21" x14ac:dyDescent="0.25">
      <c r="C70" s="295" t="str">
        <f>'CB-17'!B70</f>
        <v>lights</v>
      </c>
      <c r="D70" s="460">
        <f t="shared" si="13"/>
        <v>0</v>
      </c>
      <c r="E70" s="322">
        <f t="shared" si="14"/>
        <v>0</v>
      </c>
      <c r="F70" s="274">
        <v>1</v>
      </c>
      <c r="G70" s="298">
        <f t="shared" si="15"/>
        <v>0</v>
      </c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U70"/>
    </row>
    <row r="71" spans="3:21" x14ac:dyDescent="0.25">
      <c r="C71" s="288" t="str">
        <f>'CB-17'!B71</f>
        <v>INDIA OFFICE EXPENSES</v>
      </c>
      <c r="D71" s="453">
        <f>SUM(D72:D74)</f>
        <v>0</v>
      </c>
      <c r="E71" s="290" t="s">
        <v>60</v>
      </c>
      <c r="F71" s="290" t="s">
        <v>61</v>
      </c>
      <c r="G71" s="290" t="s">
        <v>62</v>
      </c>
      <c r="H71" s="288"/>
      <c r="I71" s="288"/>
      <c r="J71" s="288"/>
      <c r="K71" s="288"/>
      <c r="L71" s="288"/>
      <c r="M71" s="288"/>
      <c r="N71" s="288"/>
      <c r="O71" s="288"/>
      <c r="P71" s="288"/>
      <c r="Q71" s="288"/>
      <c r="R71" s="288"/>
      <c r="S71" s="288"/>
      <c r="U71"/>
    </row>
    <row r="72" spans="3:21" x14ac:dyDescent="0.25">
      <c r="C72" s="295" t="str">
        <f>'CB-17'!B72</f>
        <v>electricity</v>
      </c>
      <c r="D72" s="460">
        <f t="shared" si="13"/>
        <v>0</v>
      </c>
      <c r="E72" s="322">
        <f t="shared" ref="E72" si="16">F72*G72</f>
        <v>0</v>
      </c>
      <c r="F72" s="274">
        <v>1</v>
      </c>
      <c r="G72" s="298">
        <f>SUM(H72:S72)</f>
        <v>0</v>
      </c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U72"/>
    </row>
    <row r="73" spans="3:21" x14ac:dyDescent="0.25">
      <c r="C73" s="295" t="str">
        <f>'CB-17'!B73</f>
        <v>taxes</v>
      </c>
      <c r="D73" s="460">
        <f t="shared" si="13"/>
        <v>0</v>
      </c>
      <c r="E73" s="322">
        <f t="shared" ref="E73:E75" si="17">F73*G73</f>
        <v>0</v>
      </c>
      <c r="F73" s="274">
        <v>1</v>
      </c>
      <c r="G73" s="298">
        <f t="shared" ref="G73:G75" si="18">SUM(H73:S73)</f>
        <v>0</v>
      </c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U73"/>
    </row>
    <row r="74" spans="3:21" x14ac:dyDescent="0.25">
      <c r="C74" s="295" t="str">
        <f>'CB-17'!B74</f>
        <v>cleaning</v>
      </c>
      <c r="D74" s="460">
        <f t="shared" si="13"/>
        <v>0</v>
      </c>
      <c r="E74" s="322">
        <f t="shared" si="17"/>
        <v>0</v>
      </c>
      <c r="F74" s="274">
        <v>1</v>
      </c>
      <c r="G74" s="298">
        <f t="shared" si="18"/>
        <v>0</v>
      </c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U74"/>
    </row>
    <row r="75" spans="3:21" x14ac:dyDescent="0.25">
      <c r="C75" s="295" t="str">
        <f>'CB-17'!B75</f>
        <v>Staff</v>
      </c>
      <c r="D75" s="460">
        <f t="shared" si="13"/>
        <v>0</v>
      </c>
      <c r="E75" s="322">
        <f t="shared" si="17"/>
        <v>0</v>
      </c>
      <c r="F75" s="274">
        <v>1</v>
      </c>
      <c r="G75" s="298">
        <f t="shared" si="18"/>
        <v>0</v>
      </c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U75"/>
    </row>
    <row r="76" spans="3:21" x14ac:dyDescent="0.25">
      <c r="C76" s="456" t="str">
        <f>'CB-17'!B76</f>
        <v>PAYROLL</v>
      </c>
      <c r="D76" s="457">
        <f>SUM(G77:G80)</f>
        <v>43200</v>
      </c>
      <c r="E76" s="289"/>
      <c r="F76" s="290" t="s">
        <v>61</v>
      </c>
      <c r="G76" s="457"/>
      <c r="H76" s="291"/>
      <c r="I76" s="291"/>
      <c r="J76" s="291"/>
      <c r="K76" s="291"/>
      <c r="L76" s="291"/>
      <c r="M76" s="291"/>
      <c r="N76" s="291"/>
      <c r="O76" s="291"/>
      <c r="P76" s="291"/>
      <c r="Q76" s="291"/>
      <c r="R76" s="291"/>
      <c r="S76" s="291"/>
      <c r="U76"/>
    </row>
    <row r="77" spans="3:21" hidden="1" x14ac:dyDescent="0.25">
      <c r="C77" s="272" t="s">
        <v>139</v>
      </c>
      <c r="D77" s="292"/>
      <c r="E77" s="297">
        <f>G77*F77</f>
        <v>0</v>
      </c>
      <c r="F77" s="274">
        <v>1</v>
      </c>
      <c r="G77" s="298"/>
      <c r="H77" s="294"/>
      <c r="I77" s="294"/>
      <c r="J77" s="294"/>
      <c r="K77" s="294"/>
      <c r="L77" s="294"/>
      <c r="M77" s="294"/>
      <c r="N77" s="294"/>
      <c r="O77" s="294"/>
      <c r="P77" s="294"/>
      <c r="Q77" s="294"/>
      <c r="R77" s="294"/>
      <c r="S77" s="294"/>
      <c r="U77"/>
    </row>
    <row r="78" spans="3:21" hidden="1" x14ac:dyDescent="0.25">
      <c r="C78" s="272" t="s">
        <v>140</v>
      </c>
      <c r="D78" s="292"/>
      <c r="E78" s="297">
        <f t="shared" ref="E78:E80" si="19">G78*F78</f>
        <v>0</v>
      </c>
      <c r="F78" s="274">
        <v>1</v>
      </c>
      <c r="G78" s="298">
        <f>SUM(H78:S78)</f>
        <v>0</v>
      </c>
      <c r="H78" s="294"/>
      <c r="I78" s="294"/>
      <c r="J78" s="294"/>
      <c r="K78" s="294"/>
      <c r="L78" s="294"/>
      <c r="M78" s="294"/>
      <c r="N78" s="294"/>
      <c r="O78" s="294"/>
      <c r="P78" s="294"/>
      <c r="Q78" s="294"/>
      <c r="R78" s="294"/>
      <c r="S78" s="294"/>
      <c r="U78"/>
    </row>
    <row r="79" spans="3:21" x14ac:dyDescent="0.25">
      <c r="C79" s="272" t="s">
        <v>141</v>
      </c>
      <c r="D79" s="460">
        <f t="shared" ref="D79:D80" si="20">E79</f>
        <v>0</v>
      </c>
      <c r="E79" s="297">
        <f t="shared" si="19"/>
        <v>0</v>
      </c>
      <c r="F79" s="274">
        <v>1</v>
      </c>
      <c r="G79" s="298">
        <f>SUM(H79:S79)</f>
        <v>0</v>
      </c>
      <c r="H79" s="294"/>
      <c r="I79" s="294"/>
      <c r="J79" s="294"/>
      <c r="K79" s="294"/>
      <c r="L79" s="294"/>
      <c r="M79" s="294"/>
      <c r="N79" s="294"/>
      <c r="O79" s="294"/>
      <c r="P79" s="294"/>
      <c r="Q79" s="294"/>
      <c r="R79" s="294"/>
      <c r="S79" s="294"/>
      <c r="U79"/>
    </row>
    <row r="80" spans="3:21" x14ac:dyDescent="0.25">
      <c r="C80" s="272" t="s">
        <v>142</v>
      </c>
      <c r="D80" s="460">
        <f t="shared" si="20"/>
        <v>43200</v>
      </c>
      <c r="E80" s="297">
        <f t="shared" si="19"/>
        <v>43200</v>
      </c>
      <c r="F80" s="274">
        <v>1</v>
      </c>
      <c r="G80" s="298">
        <f>SUM(I80:S80)</f>
        <v>43200</v>
      </c>
      <c r="H80" s="294"/>
      <c r="I80" s="294">
        <v>7200</v>
      </c>
      <c r="J80" s="294"/>
      <c r="K80" s="294">
        <v>14400</v>
      </c>
      <c r="L80" s="294"/>
      <c r="M80" s="294"/>
      <c r="N80" s="294">
        <v>7200</v>
      </c>
      <c r="O80" s="294">
        <v>7200</v>
      </c>
      <c r="P80" s="294">
        <v>7200</v>
      </c>
      <c r="Q80" s="294"/>
      <c r="R80" s="294"/>
      <c r="S80" s="294"/>
      <c r="U80"/>
    </row>
    <row r="81" spans="3:24" x14ac:dyDescent="0.25">
      <c r="C81" s="403"/>
      <c r="D81" s="404"/>
      <c r="E81" s="331"/>
      <c r="F81" s="331"/>
      <c r="G81" s="404"/>
      <c r="H81" s="430"/>
      <c r="I81" s="431"/>
      <c r="J81" s="431"/>
      <c r="K81" s="431"/>
      <c r="L81" s="431"/>
      <c r="M81" s="431"/>
      <c r="N81" s="431"/>
      <c r="O81" s="431"/>
      <c r="P81" s="431"/>
      <c r="Q81" s="431"/>
      <c r="R81" s="431"/>
      <c r="S81" s="432"/>
      <c r="U81"/>
    </row>
    <row r="82" spans="3:24" x14ac:dyDescent="0.25">
      <c r="C82" s="272"/>
      <c r="D82" s="296"/>
      <c r="E82" s="297"/>
      <c r="F82" s="297"/>
      <c r="G82" s="298"/>
      <c r="H82" s="294"/>
      <c r="I82" s="294"/>
      <c r="J82" s="294"/>
      <c r="K82" s="294"/>
      <c r="L82" s="294"/>
      <c r="M82" s="294"/>
      <c r="N82" s="294"/>
      <c r="O82" s="294"/>
      <c r="P82" s="294"/>
      <c r="Q82" s="294"/>
      <c r="R82" s="294"/>
      <c r="S82" s="294"/>
      <c r="U82" s="222">
        <v>3044</v>
      </c>
      <c r="V82" s="129">
        <v>330</v>
      </c>
      <c r="W82" s="131">
        <v>44766</v>
      </c>
      <c r="X82" s="130" t="s">
        <v>94</v>
      </c>
    </row>
    <row r="83" spans="3:24" x14ac:dyDescent="0.25">
      <c r="C83" s="272"/>
      <c r="D83" s="296"/>
      <c r="E83" s="297"/>
      <c r="F83" s="297"/>
      <c r="G83" s="298"/>
      <c r="H83" s="294"/>
      <c r="I83" s="294"/>
      <c r="J83" s="294"/>
      <c r="K83" s="294"/>
      <c r="L83" s="294"/>
      <c r="M83" s="294"/>
      <c r="N83" s="294"/>
      <c r="O83" s="294"/>
      <c r="P83" s="294"/>
      <c r="Q83" s="294"/>
      <c r="R83" s="294"/>
      <c r="S83" s="294"/>
      <c r="U83" s="221">
        <v>3583</v>
      </c>
      <c r="V83" s="115">
        <v>300</v>
      </c>
      <c r="W83" s="116">
        <v>44745</v>
      </c>
      <c r="X83" s="117" t="s">
        <v>96</v>
      </c>
    </row>
    <row r="84" spans="3:24" x14ac:dyDescent="0.25">
      <c r="C84" s="272"/>
      <c r="D84" s="296"/>
      <c r="E84" s="297"/>
      <c r="F84" s="297"/>
      <c r="G84" s="298"/>
      <c r="H84" s="294"/>
      <c r="I84" s="294"/>
      <c r="J84" s="294"/>
      <c r="K84" s="294"/>
      <c r="L84" s="294"/>
      <c r="M84" s="294"/>
      <c r="N84" s="294"/>
      <c r="O84" s="294"/>
      <c r="P84" s="294"/>
      <c r="Q84" s="294"/>
      <c r="R84" s="294"/>
      <c r="S84" s="294"/>
      <c r="U84" s="222">
        <v>9917</v>
      </c>
      <c r="V84" s="129">
        <v>200</v>
      </c>
      <c r="W84" s="131">
        <v>44760</v>
      </c>
      <c r="X84" s="130" t="s">
        <v>98</v>
      </c>
    </row>
    <row r="85" spans="3:24" x14ac:dyDescent="0.25">
      <c r="C85" s="272"/>
      <c r="D85" s="296"/>
      <c r="E85" s="297"/>
      <c r="F85" s="297"/>
      <c r="G85" s="298"/>
      <c r="H85" s="294"/>
      <c r="I85" s="294"/>
      <c r="J85" s="294"/>
      <c r="K85" s="294"/>
      <c r="L85" s="294"/>
      <c r="M85" s="294"/>
      <c r="N85" s="294"/>
      <c r="O85" s="294"/>
      <c r="P85" s="294"/>
      <c r="Q85" s="294"/>
      <c r="R85" s="294"/>
      <c r="S85" s="294"/>
      <c r="U85" s="222">
        <v>3022</v>
      </c>
      <c r="V85" s="129">
        <v>570</v>
      </c>
      <c r="W85" s="131">
        <v>44779</v>
      </c>
      <c r="X85" s="130" t="s">
        <v>94</v>
      </c>
    </row>
    <row r="86" spans="3:24" x14ac:dyDescent="0.25">
      <c r="C86" s="14"/>
      <c r="D86" s="140"/>
      <c r="E86" s="141"/>
      <c r="F86" s="141"/>
      <c r="G86" s="142"/>
      <c r="H86" s="145"/>
      <c r="I86" s="146"/>
      <c r="J86" s="146"/>
      <c r="K86" s="146"/>
      <c r="L86" s="146"/>
      <c r="M86" s="146"/>
      <c r="N86" s="146"/>
      <c r="O86" s="146"/>
      <c r="P86" s="146"/>
      <c r="Q86" s="146"/>
      <c r="R86" s="146"/>
      <c r="S86" s="147"/>
      <c r="U86" s="222">
        <v>3023</v>
      </c>
      <c r="V86" s="129">
        <v>350</v>
      </c>
      <c r="W86" s="131">
        <v>44779</v>
      </c>
      <c r="X86" s="130" t="s">
        <v>94</v>
      </c>
    </row>
    <row r="87" spans="3:24" x14ac:dyDescent="0.25">
      <c r="U87" s="222">
        <v>3024</v>
      </c>
      <c r="V87" s="129">
        <v>151</v>
      </c>
      <c r="W87" s="131">
        <v>44794</v>
      </c>
      <c r="X87" s="130" t="s">
        <v>94</v>
      </c>
    </row>
    <row r="88" spans="3:24" x14ac:dyDescent="0.25">
      <c r="U88" s="222">
        <v>3025</v>
      </c>
      <c r="V88" s="129">
        <v>180</v>
      </c>
      <c r="W88" s="131">
        <v>44794</v>
      </c>
      <c r="X88" s="130" t="s">
        <v>94</v>
      </c>
    </row>
    <row r="89" spans="3:24" ht="15.75" thickBot="1" x14ac:dyDescent="0.3">
      <c r="C89" s="14"/>
      <c r="D89" s="140"/>
      <c r="E89" s="141"/>
      <c r="F89" s="141"/>
      <c r="G89" s="142"/>
      <c r="H89" s="145"/>
      <c r="I89" s="146"/>
      <c r="J89" s="146"/>
      <c r="K89" s="146"/>
      <c r="L89" s="146"/>
      <c r="M89" s="146"/>
      <c r="N89" s="146"/>
      <c r="O89" s="146"/>
      <c r="P89" s="146"/>
      <c r="Q89" s="146"/>
      <c r="R89" s="146"/>
      <c r="S89" s="147"/>
      <c r="U89" s="221">
        <v>3584</v>
      </c>
      <c r="V89" s="115">
        <v>300</v>
      </c>
      <c r="W89" s="116">
        <v>44776</v>
      </c>
      <c r="X89" s="117" t="s">
        <v>96</v>
      </c>
    </row>
    <row r="90" spans="3:24" x14ac:dyDescent="0.25">
      <c r="C90" s="136"/>
      <c r="D90" s="157"/>
      <c r="E90" s="174"/>
      <c r="F90" s="159"/>
      <c r="G90" s="157"/>
      <c r="H90" s="160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2"/>
      <c r="U90" s="222">
        <v>9918</v>
      </c>
      <c r="V90" s="129">
        <v>200</v>
      </c>
      <c r="W90" s="131">
        <v>44793</v>
      </c>
      <c r="X90" s="130" t="s">
        <v>98</v>
      </c>
    </row>
    <row r="91" spans="3:24" x14ac:dyDescent="0.25">
      <c r="C91" s="132"/>
      <c r="D91" s="141"/>
      <c r="E91" s="141"/>
      <c r="F91" s="112"/>
      <c r="G91" s="150"/>
      <c r="H91" s="145"/>
      <c r="I91" s="146"/>
      <c r="J91" s="146"/>
      <c r="K91" s="146"/>
      <c r="L91" s="146"/>
      <c r="M91" s="146"/>
      <c r="N91" s="146"/>
      <c r="O91" s="146"/>
      <c r="P91" s="146"/>
      <c r="Q91" s="146"/>
      <c r="R91" s="146"/>
      <c r="S91" s="147"/>
      <c r="U91" s="222">
        <v>3045</v>
      </c>
      <c r="V91" s="129">
        <v>135</v>
      </c>
      <c r="W91" s="131">
        <v>44814</v>
      </c>
      <c r="X91" s="130" t="s">
        <v>94</v>
      </c>
    </row>
    <row r="92" spans="3:24" x14ac:dyDescent="0.25">
      <c r="C92" s="132"/>
      <c r="D92" s="141"/>
      <c r="E92" s="141"/>
      <c r="F92" s="112"/>
      <c r="G92" s="150"/>
      <c r="H92" s="145"/>
      <c r="I92" s="146"/>
      <c r="J92" s="146"/>
      <c r="K92" s="146"/>
      <c r="L92" s="146"/>
      <c r="M92" s="146"/>
      <c r="N92" s="146"/>
      <c r="O92" s="146"/>
      <c r="P92" s="146"/>
      <c r="Q92" s="146"/>
      <c r="R92" s="146"/>
      <c r="S92" s="147"/>
      <c r="U92" s="222">
        <v>3046</v>
      </c>
      <c r="V92" s="129">
        <v>165</v>
      </c>
      <c r="W92" s="131">
        <v>44814</v>
      </c>
      <c r="X92" s="130" t="s">
        <v>94</v>
      </c>
    </row>
    <row r="93" spans="3:24" x14ac:dyDescent="0.25">
      <c r="C93" s="132"/>
      <c r="D93" s="141"/>
      <c r="E93" s="141"/>
      <c r="F93" s="112"/>
      <c r="G93" s="150"/>
      <c r="H93" s="145"/>
      <c r="I93" s="146"/>
      <c r="J93" s="146"/>
      <c r="K93" s="146"/>
      <c r="L93" s="146"/>
      <c r="M93" s="146"/>
      <c r="N93" s="146"/>
      <c r="O93" s="146"/>
      <c r="P93" s="146"/>
      <c r="Q93" s="146"/>
      <c r="R93" s="146"/>
      <c r="S93" s="147"/>
      <c r="U93" s="221">
        <v>3583</v>
      </c>
      <c r="V93" s="115">
        <v>300</v>
      </c>
      <c r="W93" s="116">
        <v>44808</v>
      </c>
      <c r="X93" s="117" t="s">
        <v>96</v>
      </c>
    </row>
    <row r="94" spans="3:24" x14ac:dyDescent="0.25">
      <c r="C94" s="132"/>
      <c r="D94" s="141"/>
      <c r="E94" s="141"/>
      <c r="F94" s="112"/>
      <c r="G94" s="150"/>
      <c r="H94" s="145"/>
      <c r="I94" s="146"/>
      <c r="J94" s="146"/>
      <c r="K94" s="146"/>
      <c r="L94" s="146"/>
      <c r="M94" s="146"/>
      <c r="N94" s="146"/>
      <c r="O94" s="146"/>
      <c r="P94" s="146"/>
      <c r="Q94" s="146"/>
      <c r="R94" s="146"/>
      <c r="S94" s="147"/>
      <c r="U94" s="222">
        <v>9919</v>
      </c>
      <c r="V94" s="129">
        <v>200</v>
      </c>
      <c r="W94" s="131">
        <v>44822</v>
      </c>
      <c r="X94" s="130" t="s">
        <v>98</v>
      </c>
    </row>
    <row r="95" spans="3:24" x14ac:dyDescent="0.25">
      <c r="C95" s="132"/>
      <c r="D95" s="141"/>
      <c r="E95" s="141"/>
      <c r="F95" s="112"/>
      <c r="G95" s="150"/>
      <c r="H95" s="145"/>
      <c r="I95" s="146"/>
      <c r="J95" s="146"/>
      <c r="K95" s="146"/>
      <c r="L95" s="146"/>
      <c r="M95" s="146"/>
      <c r="N95" s="146"/>
      <c r="O95" s="146"/>
      <c r="P95" s="146"/>
      <c r="Q95" s="146"/>
      <c r="R95" s="146"/>
      <c r="S95" s="147"/>
      <c r="U95" s="221">
        <v>3586</v>
      </c>
      <c r="V95" s="115">
        <v>300</v>
      </c>
      <c r="W95" s="116">
        <v>44838</v>
      </c>
      <c r="X95" s="117" t="s">
        <v>96</v>
      </c>
    </row>
    <row r="96" spans="3:24" x14ac:dyDescent="0.25">
      <c r="C96" s="132"/>
      <c r="D96" s="141"/>
      <c r="E96" s="141"/>
      <c r="F96" s="112"/>
      <c r="G96" s="150"/>
      <c r="H96" s="145"/>
      <c r="I96" s="146"/>
      <c r="J96" s="146"/>
      <c r="K96" s="146"/>
      <c r="L96" s="146"/>
      <c r="M96" s="146"/>
      <c r="N96" s="146"/>
      <c r="O96" s="146"/>
      <c r="P96" s="146"/>
      <c r="Q96" s="146"/>
      <c r="R96" s="146"/>
      <c r="S96" s="147"/>
      <c r="U96" s="222">
        <v>9920</v>
      </c>
      <c r="V96" s="129">
        <v>200</v>
      </c>
      <c r="W96" s="131">
        <v>44852</v>
      </c>
      <c r="X96" s="130" t="s">
        <v>98</v>
      </c>
    </row>
    <row r="97" spans="3:24" x14ac:dyDescent="0.25">
      <c r="C97" s="132"/>
      <c r="D97" s="141"/>
      <c r="E97" s="141"/>
      <c r="F97" s="112"/>
      <c r="G97" s="150"/>
      <c r="H97" s="145"/>
      <c r="I97" s="146"/>
      <c r="J97" s="146"/>
      <c r="K97" s="146"/>
      <c r="L97" s="146"/>
      <c r="M97" s="146"/>
      <c r="N97" s="146"/>
      <c r="O97" s="146"/>
      <c r="P97" s="146"/>
      <c r="Q97" s="146"/>
      <c r="R97" s="146"/>
      <c r="S97" s="147"/>
      <c r="U97" s="221">
        <v>101</v>
      </c>
      <c r="V97" s="115">
        <v>80</v>
      </c>
      <c r="W97" s="116">
        <v>44879</v>
      </c>
      <c r="X97" s="117" t="s">
        <v>109</v>
      </c>
    </row>
    <row r="98" spans="3:24" x14ac:dyDescent="0.25">
      <c r="C98" s="134"/>
      <c r="D98" s="141"/>
      <c r="E98" s="141"/>
      <c r="F98" s="112"/>
      <c r="G98" s="150"/>
      <c r="H98" s="145"/>
      <c r="I98" s="146"/>
      <c r="J98" s="146"/>
      <c r="K98" s="146"/>
      <c r="L98" s="146"/>
      <c r="M98" s="146"/>
      <c r="N98" s="146"/>
      <c r="O98" s="146"/>
      <c r="P98" s="146"/>
      <c r="Q98" s="146"/>
      <c r="R98" s="146"/>
      <c r="S98" s="147"/>
      <c r="U98" s="222">
        <v>1004</v>
      </c>
      <c r="V98" s="129">
        <v>6000</v>
      </c>
      <c r="W98" s="131">
        <v>44890</v>
      </c>
      <c r="X98" s="130" t="s">
        <v>111</v>
      </c>
    </row>
    <row r="99" spans="3:24" ht="15.75" thickBot="1" x14ac:dyDescent="0.3">
      <c r="C99" s="135"/>
      <c r="D99" s="164"/>
      <c r="E99" s="164"/>
      <c r="F99" s="138"/>
      <c r="G99" s="175"/>
      <c r="H99" s="166"/>
      <c r="I99" s="167"/>
      <c r="J99" s="167"/>
      <c r="K99" s="167"/>
      <c r="L99" s="167"/>
      <c r="M99" s="167"/>
      <c r="N99" s="167"/>
      <c r="O99" s="167"/>
      <c r="P99" s="167"/>
      <c r="Q99" s="167"/>
      <c r="R99" s="167"/>
      <c r="S99" s="168"/>
      <c r="U99" s="221">
        <v>3587</v>
      </c>
      <c r="V99" s="115">
        <v>238.18</v>
      </c>
      <c r="W99" s="116">
        <v>44870</v>
      </c>
      <c r="X99" s="117" t="s">
        <v>96</v>
      </c>
    </row>
    <row r="100" spans="3:24" x14ac:dyDescent="0.25">
      <c r="G100"/>
      <c r="U100" s="222">
        <v>9921</v>
      </c>
      <c r="V100" s="129">
        <v>200</v>
      </c>
      <c r="W100" s="131">
        <v>44885</v>
      </c>
      <c r="X100" s="130" t="s">
        <v>98</v>
      </c>
    </row>
    <row r="101" spans="3:24" x14ac:dyDescent="0.25">
      <c r="C101" t="s">
        <v>143</v>
      </c>
      <c r="G101"/>
      <c r="U101" s="221">
        <v>103</v>
      </c>
      <c r="V101" s="115">
        <v>1230.57</v>
      </c>
      <c r="W101" s="116">
        <v>44898</v>
      </c>
      <c r="X101" s="117" t="s">
        <v>109</v>
      </c>
    </row>
    <row r="102" spans="3:24" x14ac:dyDescent="0.25">
      <c r="C102" t="s">
        <v>22</v>
      </c>
      <c r="J102">
        <v>5000</v>
      </c>
      <c r="U102" s="221">
        <v>3047</v>
      </c>
      <c r="V102" s="115">
        <v>1449.68</v>
      </c>
      <c r="W102" s="116">
        <v>44913</v>
      </c>
      <c r="X102" s="117" t="s">
        <v>109</v>
      </c>
    </row>
    <row r="103" spans="3:24" x14ac:dyDescent="0.25">
      <c r="U103" s="222">
        <v>9922</v>
      </c>
      <c r="V103" s="129">
        <v>200</v>
      </c>
      <c r="W103" s="131">
        <v>44913</v>
      </c>
      <c r="X103" s="130" t="s">
        <v>98</v>
      </c>
    </row>
    <row r="105" spans="3:24" x14ac:dyDescent="0.25">
      <c r="J105">
        <v>613</v>
      </c>
    </row>
    <row r="108" spans="3:24" x14ac:dyDescent="0.25">
      <c r="H108">
        <v>19602</v>
      </c>
    </row>
    <row r="111" spans="3:24" x14ac:dyDescent="0.25">
      <c r="C111" t="s">
        <v>144</v>
      </c>
      <c r="H111">
        <v>34</v>
      </c>
      <c r="J111">
        <v>810.55</v>
      </c>
      <c r="K111">
        <v>1727.17</v>
      </c>
    </row>
  </sheetData>
  <mergeCells count="1">
    <mergeCell ref="H1:S1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B984-6783-4E57-B5F4-BF3405BDA580}">
  <sheetPr>
    <tabColor rgb="FFC00000"/>
  </sheetPr>
  <dimension ref="A1:W94"/>
  <sheetViews>
    <sheetView topLeftCell="B1" workbookViewId="0">
      <pane xSplit="16" ySplit="5" topLeftCell="R6" activePane="bottomRight" state="frozen"/>
      <selection pane="topRight" activeCell="R1" sqref="R1"/>
      <selection pane="bottomLeft" activeCell="B6" sqref="B6"/>
      <selection pane="bottomRight" activeCell="B72" sqref="B72"/>
    </sheetView>
  </sheetViews>
  <sheetFormatPr defaultRowHeight="15" x14ac:dyDescent="0.25"/>
  <cols>
    <col min="1" max="1" width="10.42578125" hidden="1" customWidth="1"/>
    <col min="2" max="2" width="33.28515625" bestFit="1" customWidth="1"/>
    <col min="3" max="3" width="11.140625" bestFit="1" customWidth="1"/>
    <col min="4" max="4" width="10.140625" style="1" bestFit="1" customWidth="1"/>
    <col min="5" max="5" width="7.5703125" style="410" bestFit="1" customWidth="1"/>
    <col min="6" max="6" width="11" style="42" bestFit="1" customWidth="1"/>
    <col min="7" max="7" width="11.5703125" bestFit="1" customWidth="1"/>
    <col min="8" max="8" width="11.42578125" bestFit="1" customWidth="1"/>
    <col min="9" max="18" width="12.5703125" bestFit="1" customWidth="1"/>
    <col min="19" max="19" width="1.7109375" style="247" customWidth="1"/>
    <col min="20" max="20" width="10.5703125" style="113" bestFit="1" customWidth="1"/>
    <col min="21" max="21" width="10.5703125" bestFit="1" customWidth="1"/>
    <col min="22" max="22" width="9.5703125" customWidth="1"/>
    <col min="23" max="23" width="19.140625" bestFit="1" customWidth="1"/>
  </cols>
  <sheetData>
    <row r="1" spans="1:23" ht="15.75" thickBot="1" x14ac:dyDescent="0.3">
      <c r="A1" s="262">
        <f>Summary!L5</f>
        <v>2018</v>
      </c>
      <c r="B1" s="487">
        <f>Summary!L5</f>
        <v>2018</v>
      </c>
      <c r="C1" s="510"/>
      <c r="D1" s="245"/>
      <c r="E1" s="245"/>
      <c r="F1" s="245"/>
      <c r="G1" s="556" t="str">
        <f>"CLOUDBAUD CONSULTING "&amp; Summary!L5 &amp; " ONLY"</f>
        <v>CLOUDBAUD CONSULTING 2018 ONLY</v>
      </c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62"/>
      <c r="T1" s="563" t="s">
        <v>145</v>
      </c>
      <c r="U1" s="563"/>
      <c r="V1" s="564">
        <f ca="1">NOW()</f>
        <v>45893.327924884259</v>
      </c>
      <c r="W1" s="564"/>
    </row>
    <row r="2" spans="1:23" x14ac:dyDescent="0.25">
      <c r="A2" s="486" t="s">
        <v>128</v>
      </c>
      <c r="B2" s="76"/>
      <c r="C2" s="3">
        <f>'CB-17'!C2</f>
        <v>0</v>
      </c>
      <c r="D2" s="190">
        <f>'CB-17'!D2</f>
        <v>0</v>
      </c>
      <c r="E2" s="190"/>
      <c r="F2" s="181" t="s">
        <v>41</v>
      </c>
      <c r="G2" s="181" t="s">
        <v>42</v>
      </c>
      <c r="H2" s="182" t="s">
        <v>43</v>
      </c>
      <c r="I2" s="182" t="s">
        <v>44</v>
      </c>
      <c r="J2" s="182" t="s">
        <v>45</v>
      </c>
      <c r="K2" s="182" t="s">
        <v>46</v>
      </c>
      <c r="L2" s="182" t="s">
        <v>47</v>
      </c>
      <c r="M2" s="182" t="s">
        <v>48</v>
      </c>
      <c r="N2" s="182" t="s">
        <v>49</v>
      </c>
      <c r="O2" s="182" t="s">
        <v>50</v>
      </c>
      <c r="P2" s="182" t="s">
        <v>51</v>
      </c>
      <c r="Q2" s="182" t="s">
        <v>52</v>
      </c>
      <c r="R2" s="183" t="s">
        <v>53</v>
      </c>
      <c r="T2" s="119" t="s">
        <v>54</v>
      </c>
      <c r="U2" s="120" t="s">
        <v>55</v>
      </c>
      <c r="V2" s="120" t="s">
        <v>56</v>
      </c>
      <c r="W2" s="120" t="s">
        <v>57</v>
      </c>
    </row>
    <row r="3" spans="1:23" x14ac:dyDescent="0.25">
      <c r="A3" s="235" t="s">
        <v>129</v>
      </c>
      <c r="B3" s="511" t="str">
        <f>'CB-17'!B3</f>
        <v>CONSULTING REVENUE</v>
      </c>
      <c r="C3" s="356">
        <f>F3-D3</f>
        <v>485019.41</v>
      </c>
      <c r="D3" s="339"/>
      <c r="E3" s="407"/>
      <c r="F3" s="340">
        <f>SUM(G3:R3)</f>
        <v>485019.41</v>
      </c>
      <c r="G3" s="338">
        <f>15630+15630</f>
        <v>31260</v>
      </c>
      <c r="H3" s="338">
        <f>18018.79+H4-G4-18018.79</f>
        <v>35898.789999999986</v>
      </c>
      <c r="I3" s="338">
        <f>I4-H4</f>
        <v>33883.570000000007</v>
      </c>
      <c r="J3" s="338">
        <f>J4-I4</f>
        <v>33702.499999999985</v>
      </c>
      <c r="K3" s="338">
        <f>16735+16927.7</f>
        <v>33662.699999999997</v>
      </c>
      <c r="L3" s="338">
        <f t="shared" ref="L3:Q3" si="0">L4-K4</f>
        <v>33682.700000000012</v>
      </c>
      <c r="M3" s="338">
        <f t="shared" si="0"/>
        <v>48414.559999999998</v>
      </c>
      <c r="N3" s="338">
        <f t="shared" si="0"/>
        <v>40082.700000000012</v>
      </c>
      <c r="O3" s="338">
        <f t="shared" si="0"/>
        <v>51282.699999999953</v>
      </c>
      <c r="P3" s="338">
        <f t="shared" si="0"/>
        <v>51282.700000000012</v>
      </c>
      <c r="Q3" s="338">
        <f t="shared" si="0"/>
        <v>44923.570000000007</v>
      </c>
      <c r="R3" s="512">
        <f>23130+10000+13812.92</f>
        <v>46942.92</v>
      </c>
      <c r="T3" s="114">
        <v>3032</v>
      </c>
      <c r="U3" s="115">
        <v>19</v>
      </c>
      <c r="V3" s="117" t="s">
        <v>146</v>
      </c>
      <c r="W3" s="117" t="s">
        <v>147</v>
      </c>
    </row>
    <row r="4" spans="1:23" x14ac:dyDescent="0.25">
      <c r="A4" s="271"/>
      <c r="B4" s="513"/>
      <c r="C4" s="344"/>
      <c r="D4" s="345"/>
      <c r="E4" s="408"/>
      <c r="F4" s="346" t="s">
        <v>58</v>
      </c>
      <c r="G4" s="347">
        <f>G3</f>
        <v>31260</v>
      </c>
      <c r="H4" s="347">
        <f>67158.79</f>
        <v>67158.789999999994</v>
      </c>
      <c r="I4" s="347">
        <v>101042.36</v>
      </c>
      <c r="J4" s="347">
        <f>K4-K3</f>
        <v>134744.85999999999</v>
      </c>
      <c r="K4" s="347">
        <v>168407.56</v>
      </c>
      <c r="L4" s="347">
        <v>202090.26</v>
      </c>
      <c r="M4" s="347">
        <v>250504.82</v>
      </c>
      <c r="N4" s="347">
        <v>290587.52000000002</v>
      </c>
      <c r="O4" s="347">
        <v>341870.22</v>
      </c>
      <c r="P4" s="347">
        <v>393152.92</v>
      </c>
      <c r="Q4" s="347">
        <v>438076.49</v>
      </c>
      <c r="R4" s="494">
        <f>461206.49+23812.92</f>
        <v>485019.41</v>
      </c>
      <c r="T4" s="128">
        <v>3033</v>
      </c>
      <c r="U4" s="129">
        <v>500</v>
      </c>
      <c r="V4" s="130" t="s">
        <v>146</v>
      </c>
      <c r="W4" s="130" t="s">
        <v>94</v>
      </c>
    </row>
    <row r="5" spans="1:23" x14ac:dyDescent="0.25">
      <c r="B5" s="369" t="str">
        <f>'CB-17'!B5</f>
        <v>TOTAL EXPENSES</v>
      </c>
      <c r="C5" s="425" t="e">
        <f>C7+C20+C27+C76+C35+C59+C45+C62+C67+C71</f>
        <v>#REF!</v>
      </c>
      <c r="D5" s="348">
        <f>SUM(D8:D18)</f>
        <v>3612.6345000000001</v>
      </c>
      <c r="E5" s="409"/>
      <c r="F5" s="139"/>
      <c r="G5" s="143"/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44"/>
      <c r="T5" s="128">
        <v>3034</v>
      </c>
      <c r="U5" s="129">
        <v>1269</v>
      </c>
      <c r="V5" s="130" t="s">
        <v>146</v>
      </c>
      <c r="W5" s="130" t="s">
        <v>148</v>
      </c>
    </row>
    <row r="6" spans="1:23" ht="15.75" thickBot="1" x14ac:dyDescent="0.3">
      <c r="B6" s="511" t="str">
        <f>'CB-17'!B6</f>
        <v>NET REVENUE</v>
      </c>
      <c r="C6" s="356" t="e">
        <f>C3-C5</f>
        <v>#REF!</v>
      </c>
      <c r="D6" s="29"/>
      <c r="E6" s="409"/>
      <c r="F6" s="514"/>
      <c r="R6" s="515"/>
      <c r="T6" s="128">
        <v>3035</v>
      </c>
      <c r="U6" s="129">
        <v>1000</v>
      </c>
      <c r="V6" s="130" t="s">
        <v>146</v>
      </c>
      <c r="W6" s="130" t="s">
        <v>149</v>
      </c>
    </row>
    <row r="7" spans="1:23" ht="15.75" thickBot="1" x14ac:dyDescent="0.3">
      <c r="A7" s="235" t="s">
        <v>130</v>
      </c>
      <c r="B7" s="306" t="str">
        <f>'CB-17'!B7</f>
        <v>UTILITIES</v>
      </c>
      <c r="C7" s="379">
        <f>SUM(C8:C19)</f>
        <v>3612.6345000000001</v>
      </c>
      <c r="D7" s="307" t="s">
        <v>60</v>
      </c>
      <c r="E7" s="411" t="s">
        <v>61</v>
      </c>
      <c r="F7" s="307" t="s">
        <v>62</v>
      </c>
      <c r="G7" s="308">
        <f t="shared" ref="G7:R7" si="1">SUM(G8:G14)</f>
        <v>490</v>
      </c>
      <c r="H7" s="308">
        <f t="shared" si="1"/>
        <v>841.32999999999993</v>
      </c>
      <c r="I7" s="308">
        <f t="shared" si="1"/>
        <v>490</v>
      </c>
      <c r="J7" s="308">
        <f t="shared" si="1"/>
        <v>840.86</v>
      </c>
      <c r="K7" s="308">
        <f t="shared" si="1"/>
        <v>490</v>
      </c>
      <c r="L7" s="308">
        <f t="shared" si="1"/>
        <v>988.88</v>
      </c>
      <c r="M7" s="308">
        <f t="shared" si="1"/>
        <v>2269.83</v>
      </c>
      <c r="N7" s="308">
        <f t="shared" si="1"/>
        <v>992.06</v>
      </c>
      <c r="O7" s="308">
        <f t="shared" si="1"/>
        <v>610.89</v>
      </c>
      <c r="P7" s="308">
        <f t="shared" si="1"/>
        <v>919.39</v>
      </c>
      <c r="Q7" s="308">
        <f t="shared" si="1"/>
        <v>551.65</v>
      </c>
      <c r="R7" s="309">
        <f t="shared" si="1"/>
        <v>1194.96</v>
      </c>
      <c r="T7" s="128">
        <v>3036</v>
      </c>
      <c r="U7" s="129">
        <v>500</v>
      </c>
      <c r="V7" s="130" t="s">
        <v>146</v>
      </c>
      <c r="W7" s="130" t="s">
        <v>149</v>
      </c>
    </row>
    <row r="8" spans="1:23" x14ac:dyDescent="0.25">
      <c r="A8" s="235" t="s">
        <v>131</v>
      </c>
      <c r="B8" s="280" t="str">
        <f>'CB-17'!B8</f>
        <v>Electricity</v>
      </c>
      <c r="C8" s="460">
        <f t="shared" ref="C8:C19" si="2">D8</f>
        <v>152.69909999999999</v>
      </c>
      <c r="D8" s="273">
        <f t="shared" ref="D8:D16" si="3">E8*F8</f>
        <v>152.69909999999999</v>
      </c>
      <c r="E8" s="412">
        <f>'CB-17'!E8</f>
        <v>0.17</v>
      </c>
      <c r="F8" s="293">
        <f t="shared" ref="F8:F19" si="4">SUM(G8:R8)</f>
        <v>898.2299999999999</v>
      </c>
      <c r="G8" s="294">
        <v>0</v>
      </c>
      <c r="H8" s="294">
        <v>0</v>
      </c>
      <c r="I8" s="294">
        <v>0</v>
      </c>
      <c r="J8" s="294">
        <v>0</v>
      </c>
      <c r="K8" s="294">
        <v>0</v>
      </c>
      <c r="L8" s="294">
        <f>12.64+130.19</f>
        <v>142.82999999999998</v>
      </c>
      <c r="M8" s="294">
        <f>12.64+130.19</f>
        <v>142.82999999999998</v>
      </c>
      <c r="N8" s="294">
        <f>8.7+111.68</f>
        <v>120.38000000000001</v>
      </c>
      <c r="O8" s="294">
        <v>120.89</v>
      </c>
      <c r="P8" s="294">
        <v>0</v>
      </c>
      <c r="Q8" s="294">
        <v>61.65</v>
      </c>
      <c r="R8" s="310">
        <f>95.6+214.05</f>
        <v>309.64999999999998</v>
      </c>
      <c r="T8" s="114">
        <v>3577</v>
      </c>
      <c r="U8" s="115">
        <v>300</v>
      </c>
      <c r="V8" s="117" t="s">
        <v>146</v>
      </c>
      <c r="W8" s="117" t="s">
        <v>96</v>
      </c>
    </row>
    <row r="9" spans="1:23" x14ac:dyDescent="0.25">
      <c r="A9" s="235" t="s">
        <v>131</v>
      </c>
      <c r="B9" s="280" t="str">
        <f>'CB-17'!B9</f>
        <v>Waste &amp; Recycle</v>
      </c>
      <c r="C9" s="460">
        <f t="shared" si="2"/>
        <v>0</v>
      </c>
      <c r="D9" s="273">
        <f t="shared" si="3"/>
        <v>0</v>
      </c>
      <c r="E9" s="412">
        <f>'CB-17'!E9</f>
        <v>0.17</v>
      </c>
      <c r="F9" s="293">
        <f t="shared" si="4"/>
        <v>0</v>
      </c>
      <c r="G9" s="294">
        <v>0</v>
      </c>
      <c r="H9" s="294">
        <v>0</v>
      </c>
      <c r="I9" s="294">
        <v>0</v>
      </c>
      <c r="J9" s="294">
        <v>0</v>
      </c>
      <c r="K9" s="294">
        <v>0</v>
      </c>
      <c r="L9" s="294">
        <v>0</v>
      </c>
      <c r="M9" s="294">
        <v>0</v>
      </c>
      <c r="N9" s="294">
        <v>0</v>
      </c>
      <c r="O9" s="294">
        <v>0</v>
      </c>
      <c r="P9" s="294">
        <v>0</v>
      </c>
      <c r="Q9" s="294">
        <v>0</v>
      </c>
      <c r="R9" s="310">
        <v>0</v>
      </c>
      <c r="T9" s="128">
        <v>9910</v>
      </c>
      <c r="U9" s="129">
        <v>135</v>
      </c>
      <c r="V9" s="130" t="s">
        <v>146</v>
      </c>
      <c r="W9" s="130" t="s">
        <v>98</v>
      </c>
    </row>
    <row r="10" spans="1:23" x14ac:dyDescent="0.25">
      <c r="A10" s="235" t="s">
        <v>132</v>
      </c>
      <c r="B10" s="280" t="str">
        <f>'CB-17'!B10</f>
        <v>Water &amp; Sewer</v>
      </c>
      <c r="C10" s="460">
        <f t="shared" si="2"/>
        <v>384.98540000000003</v>
      </c>
      <c r="D10" s="273">
        <f t="shared" si="3"/>
        <v>384.98540000000003</v>
      </c>
      <c r="E10" s="412">
        <f>'CB-17'!E10</f>
        <v>0.17</v>
      </c>
      <c r="F10" s="293">
        <f t="shared" si="4"/>
        <v>2264.62</v>
      </c>
      <c r="G10" s="294"/>
      <c r="H10" s="294">
        <v>351.33</v>
      </c>
      <c r="I10" s="294">
        <v>0</v>
      </c>
      <c r="J10" s="294">
        <v>350.86</v>
      </c>
      <c r="K10" s="294">
        <v>0</v>
      </c>
      <c r="L10" s="294">
        <v>356.05</v>
      </c>
      <c r="M10" s="294">
        <v>0</v>
      </c>
      <c r="N10" s="294">
        <v>381.68</v>
      </c>
      <c r="O10" s="294">
        <v>0</v>
      </c>
      <c r="P10" s="294">
        <v>429.39</v>
      </c>
      <c r="Q10" s="294">
        <v>0</v>
      </c>
      <c r="R10" s="310">
        <v>395.31</v>
      </c>
      <c r="T10" s="128">
        <v>9911</v>
      </c>
      <c r="U10" s="129">
        <v>135</v>
      </c>
      <c r="V10" s="130" t="s">
        <v>146</v>
      </c>
      <c r="W10" s="130" t="s">
        <v>98</v>
      </c>
    </row>
    <row r="11" spans="1:23" x14ac:dyDescent="0.25">
      <c r="A11" s="235" t="s">
        <v>133</v>
      </c>
      <c r="B11" s="280" t="str">
        <f>'CB-17'!B11</f>
        <v>Security</v>
      </c>
      <c r="C11" s="460">
        <f t="shared" si="2"/>
        <v>102.00000000000001</v>
      </c>
      <c r="D11" s="273">
        <f t="shared" si="3"/>
        <v>102.00000000000001</v>
      </c>
      <c r="E11" s="412">
        <f>'CB-17'!E11</f>
        <v>0.17</v>
      </c>
      <c r="F11" s="293">
        <f t="shared" si="4"/>
        <v>600</v>
      </c>
      <c r="G11" s="294">
        <v>50</v>
      </c>
      <c r="H11" s="294">
        <v>50</v>
      </c>
      <c r="I11" s="294">
        <v>50</v>
      </c>
      <c r="J11" s="294">
        <v>50</v>
      </c>
      <c r="K11" s="294">
        <v>50</v>
      </c>
      <c r="L11" s="294">
        <v>50</v>
      </c>
      <c r="M11" s="294">
        <v>50</v>
      </c>
      <c r="N11" s="294">
        <v>50</v>
      </c>
      <c r="O11" s="294">
        <v>50</v>
      </c>
      <c r="P11" s="294">
        <v>50</v>
      </c>
      <c r="Q11" s="294">
        <v>50</v>
      </c>
      <c r="R11" s="310">
        <v>50</v>
      </c>
      <c r="T11" s="113">
        <v>3011</v>
      </c>
      <c r="U11" s="121">
        <v>2000</v>
      </c>
      <c r="V11" s="118" t="s">
        <v>150</v>
      </c>
    </row>
    <row r="12" spans="1:23" x14ac:dyDescent="0.25">
      <c r="B12" s="280" t="str">
        <f>'CB-17'!B12</f>
        <v>Landscaping</v>
      </c>
      <c r="C12" s="460">
        <f t="shared" si="2"/>
        <v>285.60000000000002</v>
      </c>
      <c r="D12" s="273">
        <f t="shared" si="3"/>
        <v>285.60000000000002</v>
      </c>
      <c r="E12" s="412">
        <f>'CB-17'!E12</f>
        <v>0.17</v>
      </c>
      <c r="F12" s="293">
        <f t="shared" si="4"/>
        <v>1680</v>
      </c>
      <c r="G12" s="294">
        <v>140</v>
      </c>
      <c r="H12" s="294">
        <v>140</v>
      </c>
      <c r="I12" s="294">
        <v>140</v>
      </c>
      <c r="J12" s="294">
        <v>140</v>
      </c>
      <c r="K12" s="294">
        <v>140</v>
      </c>
      <c r="L12" s="294">
        <v>140</v>
      </c>
      <c r="M12" s="294">
        <v>140</v>
      </c>
      <c r="N12" s="294">
        <v>140</v>
      </c>
      <c r="O12" s="294">
        <v>140</v>
      </c>
      <c r="P12" s="294">
        <v>140</v>
      </c>
      <c r="Q12" s="294">
        <v>140</v>
      </c>
      <c r="R12" s="310">
        <v>140</v>
      </c>
      <c r="T12" s="113">
        <v>3578</v>
      </c>
      <c r="U12" s="121">
        <v>300</v>
      </c>
      <c r="V12" s="118" t="s">
        <v>150</v>
      </c>
      <c r="W12" s="117" t="s">
        <v>96</v>
      </c>
    </row>
    <row r="13" spans="1:23" x14ac:dyDescent="0.25">
      <c r="A13" s="235" t="s">
        <v>151</v>
      </c>
      <c r="B13" s="280" t="str">
        <f>'CB-17'!B13</f>
        <v>Home Owners Insurance</v>
      </c>
      <c r="C13" s="460">
        <f t="shared" si="2"/>
        <v>278.29000000000002</v>
      </c>
      <c r="D13" s="273">
        <f t="shared" si="3"/>
        <v>278.29000000000002</v>
      </c>
      <c r="E13" s="412">
        <f>'CB-17'!E13</f>
        <v>0.17</v>
      </c>
      <c r="F13" s="293">
        <f t="shared" si="4"/>
        <v>1637</v>
      </c>
      <c r="G13" s="294">
        <v>0</v>
      </c>
      <c r="H13" s="294">
        <v>0</v>
      </c>
      <c r="I13" s="294">
        <v>0</v>
      </c>
      <c r="J13" s="294">
        <v>0</v>
      </c>
      <c r="K13" s="294">
        <v>0</v>
      </c>
      <c r="L13" s="294">
        <v>0</v>
      </c>
      <c r="M13" s="294">
        <f>'Home Insurance'!K13</f>
        <v>1637</v>
      </c>
      <c r="N13" s="294">
        <v>0</v>
      </c>
      <c r="O13" s="294">
        <v>0</v>
      </c>
      <c r="P13" s="294">
        <v>0</v>
      </c>
      <c r="Q13" s="294">
        <v>0</v>
      </c>
      <c r="R13" s="310">
        <v>0</v>
      </c>
      <c r="T13" s="128">
        <v>3012</v>
      </c>
      <c r="U13" s="129">
        <v>1848.58</v>
      </c>
      <c r="V13" s="131">
        <v>44646</v>
      </c>
      <c r="W13" s="130" t="s">
        <v>152</v>
      </c>
    </row>
    <row r="14" spans="1:23" x14ac:dyDescent="0.25">
      <c r="B14" s="280" t="str">
        <f>'CB-17'!B14</f>
        <v>Appliance Maintenance</v>
      </c>
      <c r="C14" s="460">
        <f t="shared" si="2"/>
        <v>1800</v>
      </c>
      <c r="D14" s="273">
        <f t="shared" si="3"/>
        <v>1800</v>
      </c>
      <c r="E14" s="274">
        <f>'CB-17'!E14</f>
        <v>0.5</v>
      </c>
      <c r="F14" s="293">
        <f t="shared" si="4"/>
        <v>3600</v>
      </c>
      <c r="G14" s="294">
        <f>U8</f>
        <v>300</v>
      </c>
      <c r="H14" s="294">
        <f>U12</f>
        <v>300</v>
      </c>
      <c r="I14" s="294">
        <f>U12</f>
        <v>300</v>
      </c>
      <c r="J14" s="294">
        <f>U22</f>
        <v>300</v>
      </c>
      <c r="K14" s="294">
        <f>U28</f>
        <v>300</v>
      </c>
      <c r="L14" s="294">
        <v>300</v>
      </c>
      <c r="M14" s="294">
        <f>U35</f>
        <v>300</v>
      </c>
      <c r="N14" s="294">
        <f>U41</f>
        <v>300</v>
      </c>
      <c r="O14" s="294">
        <v>300</v>
      </c>
      <c r="P14" s="294">
        <v>300</v>
      </c>
      <c r="Q14" s="294">
        <v>300</v>
      </c>
      <c r="R14" s="310">
        <v>300</v>
      </c>
      <c r="T14" s="128"/>
      <c r="U14" s="129"/>
      <c r="V14" s="131"/>
      <c r="W14" s="130"/>
    </row>
    <row r="15" spans="1:23" x14ac:dyDescent="0.25">
      <c r="B15" s="280" t="str">
        <f>'CB-17'!B15</f>
        <v>Apple Warranty</v>
      </c>
      <c r="C15" s="460">
        <f t="shared" si="2"/>
        <v>0</v>
      </c>
      <c r="D15" s="273">
        <f t="shared" si="3"/>
        <v>0</v>
      </c>
      <c r="E15" s="274">
        <f>'CB-17'!E15</f>
        <v>0.5</v>
      </c>
      <c r="F15" s="293">
        <f t="shared" si="4"/>
        <v>0</v>
      </c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312"/>
      <c r="T15" s="128"/>
      <c r="U15" s="129"/>
      <c r="V15" s="131"/>
      <c r="W15" s="130"/>
    </row>
    <row r="16" spans="1:23" x14ac:dyDescent="0.25">
      <c r="B16" s="280" t="str">
        <f>'CB-17'!B16</f>
        <v>Computers Warranty</v>
      </c>
      <c r="C16" s="460">
        <f t="shared" si="2"/>
        <v>0</v>
      </c>
      <c r="D16" s="273">
        <f t="shared" si="3"/>
        <v>0</v>
      </c>
      <c r="E16" s="274">
        <f>'CB-17'!E16</f>
        <v>0.5</v>
      </c>
      <c r="F16" s="293">
        <f t="shared" si="4"/>
        <v>0</v>
      </c>
      <c r="G16" s="294"/>
      <c r="H16" s="294"/>
      <c r="I16" s="294"/>
      <c r="J16" s="294"/>
      <c r="K16" s="294"/>
      <c r="L16" s="294"/>
      <c r="M16" s="294"/>
      <c r="N16" s="294"/>
      <c r="O16" s="294"/>
      <c r="P16" s="294"/>
      <c r="Q16" s="294"/>
      <c r="R16" s="310"/>
      <c r="T16" s="128">
        <v>9912</v>
      </c>
      <c r="U16" s="129">
        <v>135</v>
      </c>
      <c r="V16" s="131">
        <v>44621</v>
      </c>
      <c r="W16" s="130" t="s">
        <v>98</v>
      </c>
    </row>
    <row r="17" spans="1:23" x14ac:dyDescent="0.25">
      <c r="A17" t="s">
        <v>135</v>
      </c>
      <c r="B17" s="280" t="str">
        <f>'CB-17'!B17</f>
        <v>Cellular Service</v>
      </c>
      <c r="C17" s="460">
        <f t="shared" si="2"/>
        <v>609.06000000000017</v>
      </c>
      <c r="D17" s="273">
        <f>F17*E17</f>
        <v>609.06000000000017</v>
      </c>
      <c r="E17" s="274">
        <f>'CB-17'!E17</f>
        <v>0.5</v>
      </c>
      <c r="F17" s="293">
        <f t="shared" si="4"/>
        <v>1218.1200000000003</v>
      </c>
      <c r="G17" s="294"/>
      <c r="H17" s="294">
        <v>305.35000000000002</v>
      </c>
      <c r="I17" s="294"/>
      <c r="J17" s="294"/>
      <c r="K17" s="294">
        <v>126.68</v>
      </c>
      <c r="L17" s="294">
        <v>172.08</v>
      </c>
      <c r="M17" s="294">
        <v>172.08</v>
      </c>
      <c r="N17" s="294">
        <v>117.72</v>
      </c>
      <c r="O17" s="294">
        <v>112.72</v>
      </c>
      <c r="P17" s="294">
        <v>112.17</v>
      </c>
      <c r="Q17" s="294">
        <v>77.430000000000007</v>
      </c>
      <c r="R17" s="310">
        <v>21.89</v>
      </c>
      <c r="T17" s="128">
        <v>9913</v>
      </c>
      <c r="U17" s="129">
        <v>135</v>
      </c>
      <c r="V17" s="131">
        <v>44643</v>
      </c>
      <c r="W17" s="130" t="s">
        <v>98</v>
      </c>
    </row>
    <row r="18" spans="1:23" x14ac:dyDescent="0.25">
      <c r="B18" s="280" t="str">
        <f>'CB-17'!B18</f>
        <v>Broadband</v>
      </c>
      <c r="C18" s="460">
        <f t="shared" si="2"/>
        <v>0</v>
      </c>
      <c r="D18" s="273">
        <f>E18*F18</f>
        <v>0</v>
      </c>
      <c r="E18" s="274">
        <f>'CB-17'!E18</f>
        <v>0.5</v>
      </c>
      <c r="F18" s="293">
        <f t="shared" si="4"/>
        <v>0</v>
      </c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312"/>
      <c r="T18" s="130">
        <v>3013</v>
      </c>
      <c r="U18" s="129">
        <v>694</v>
      </c>
      <c r="V18" s="131">
        <v>44654</v>
      </c>
      <c r="W18" s="130" t="s">
        <v>94</v>
      </c>
    </row>
    <row r="19" spans="1:23" ht="15.75" thickBot="1" x14ac:dyDescent="0.3">
      <c r="B19" s="280" t="str">
        <f>'CB-17'!B19</f>
        <v>TV Cable</v>
      </c>
      <c r="C19" s="460">
        <f t="shared" si="2"/>
        <v>0</v>
      </c>
      <c r="D19" s="273">
        <f>E19*F19</f>
        <v>0</v>
      </c>
      <c r="E19" s="274">
        <f>'CB-17'!E19</f>
        <v>0.5</v>
      </c>
      <c r="F19" s="293">
        <f t="shared" si="4"/>
        <v>0</v>
      </c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312"/>
      <c r="T19" s="128">
        <v>3014</v>
      </c>
      <c r="U19" s="129">
        <v>3100</v>
      </c>
      <c r="V19" s="131">
        <v>44669</v>
      </c>
      <c r="W19" s="130" t="s">
        <v>153</v>
      </c>
    </row>
    <row r="20" spans="1:23" ht="15.75" thickBot="1" x14ac:dyDescent="0.3">
      <c r="B20" s="328" t="str">
        <f>'CB-17'!B20</f>
        <v>DEPRECIABLE ASSETS</v>
      </c>
      <c r="C20" s="379">
        <f>SUM(C21:C26)</f>
        <v>0</v>
      </c>
      <c r="D20" s="329" t="s">
        <v>60</v>
      </c>
      <c r="E20" s="416" t="s">
        <v>61</v>
      </c>
      <c r="F20" s="329" t="s">
        <v>62</v>
      </c>
      <c r="G20" s="381">
        <f>SUM(G21:G26)</f>
        <v>0</v>
      </c>
      <c r="H20" s="381">
        <f t="shared" ref="H20:R20" si="5">SUM(H21:H26)</f>
        <v>0</v>
      </c>
      <c r="I20" s="381">
        <f t="shared" si="5"/>
        <v>0</v>
      </c>
      <c r="J20" s="381">
        <f t="shared" si="5"/>
        <v>0</v>
      </c>
      <c r="K20" s="381">
        <f t="shared" si="5"/>
        <v>0</v>
      </c>
      <c r="L20" s="381">
        <f t="shared" si="5"/>
        <v>0</v>
      </c>
      <c r="M20" s="381">
        <f t="shared" si="5"/>
        <v>0</v>
      </c>
      <c r="N20" s="381">
        <f t="shared" si="5"/>
        <v>0</v>
      </c>
      <c r="O20" s="381">
        <f t="shared" si="5"/>
        <v>0</v>
      </c>
      <c r="P20" s="381">
        <f t="shared" si="5"/>
        <v>0</v>
      </c>
      <c r="Q20" s="381">
        <f t="shared" si="5"/>
        <v>0</v>
      </c>
      <c r="R20" s="381">
        <f t="shared" si="5"/>
        <v>0</v>
      </c>
      <c r="T20" s="128">
        <v>3037</v>
      </c>
      <c r="U20" s="129">
        <v>1000</v>
      </c>
      <c r="V20" s="131">
        <v>44656</v>
      </c>
      <c r="W20" s="130" t="s">
        <v>97</v>
      </c>
    </row>
    <row r="21" spans="1:23" x14ac:dyDescent="0.25">
      <c r="B21" s="311" t="str">
        <f>'CB-17'!B21</f>
        <v>ASUS Laptop</v>
      </c>
      <c r="C21" s="298">
        <f t="shared" ref="C21:C26" si="6">F21</f>
        <v>0</v>
      </c>
      <c r="D21" s="313">
        <f t="shared" ref="D21:D26" si="7">E21*F21</f>
        <v>0</v>
      </c>
      <c r="E21" s="274">
        <f>'CB-17'!E21</f>
        <v>0.5</v>
      </c>
      <c r="F21" s="323">
        <f t="shared" ref="F21:F26" si="8">SUM(G21:R21)</f>
        <v>0</v>
      </c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312"/>
      <c r="T21" s="128">
        <v>3038</v>
      </c>
      <c r="U21" s="129">
        <v>300</v>
      </c>
      <c r="V21" s="131">
        <v>44662</v>
      </c>
      <c r="W21" s="130" t="s">
        <v>154</v>
      </c>
    </row>
    <row r="22" spans="1:23" x14ac:dyDescent="0.25">
      <c r="A22" t="s">
        <v>136</v>
      </c>
      <c r="B22" s="280" t="str">
        <f>'CB-17'!B22</f>
        <v>Mobile Device (samsung)</v>
      </c>
      <c r="C22" s="298">
        <f t="shared" si="6"/>
        <v>0</v>
      </c>
      <c r="D22" s="313">
        <f t="shared" si="7"/>
        <v>0</v>
      </c>
      <c r="E22" s="274">
        <f>'CB-17'!E22</f>
        <v>0.5</v>
      </c>
      <c r="F22" s="323">
        <f t="shared" si="8"/>
        <v>0</v>
      </c>
      <c r="G22" s="294"/>
      <c r="H22" s="294"/>
      <c r="I22" s="294"/>
      <c r="J22" s="294"/>
      <c r="K22" s="294"/>
      <c r="L22" s="294"/>
      <c r="M22" s="294"/>
      <c r="N22" s="294"/>
      <c r="O22" s="294"/>
      <c r="P22" s="294"/>
      <c r="Q22" s="294"/>
      <c r="R22" s="310"/>
      <c r="T22" s="114">
        <v>3580</v>
      </c>
      <c r="U22" s="115">
        <v>300</v>
      </c>
      <c r="V22" s="116">
        <v>44654</v>
      </c>
      <c r="W22" s="117" t="s">
        <v>96</v>
      </c>
    </row>
    <row r="23" spans="1:23" x14ac:dyDescent="0.25">
      <c r="B23" s="280" t="str">
        <f>'CB-17'!B23</f>
        <v>Cellphone Device</v>
      </c>
      <c r="C23" s="298">
        <f t="shared" si="6"/>
        <v>0</v>
      </c>
      <c r="D23" s="313">
        <f t="shared" si="7"/>
        <v>0</v>
      </c>
      <c r="E23" s="274">
        <f>'CB-17'!E23</f>
        <v>0.5</v>
      </c>
      <c r="F23" s="323">
        <f t="shared" si="8"/>
        <v>0</v>
      </c>
      <c r="G23" s="294"/>
      <c r="H23" s="294"/>
      <c r="I23" s="294"/>
      <c r="J23" s="294"/>
      <c r="K23" s="294"/>
      <c r="L23" s="294"/>
      <c r="M23" s="294"/>
      <c r="N23" s="294"/>
      <c r="O23" s="294"/>
      <c r="P23" s="294"/>
      <c r="Q23" s="294"/>
      <c r="R23" s="310"/>
      <c r="T23" s="128">
        <v>9914</v>
      </c>
      <c r="U23" s="129">
        <v>200</v>
      </c>
      <c r="V23" s="131">
        <v>44669</v>
      </c>
      <c r="W23" s="130" t="s">
        <v>98</v>
      </c>
    </row>
    <row r="24" spans="1:23" x14ac:dyDescent="0.25">
      <c r="B24" s="280" t="str">
        <f>'CB-17'!B24</f>
        <v>Supplies</v>
      </c>
      <c r="C24" s="298">
        <f t="shared" si="6"/>
        <v>0</v>
      </c>
      <c r="D24" s="313">
        <f t="shared" si="7"/>
        <v>0</v>
      </c>
      <c r="E24" s="274">
        <v>1</v>
      </c>
      <c r="F24" s="323">
        <f t="shared" si="8"/>
        <v>0</v>
      </c>
      <c r="G24" s="294"/>
      <c r="H24" s="294"/>
      <c r="I24" s="294"/>
      <c r="J24" s="294"/>
      <c r="K24" s="294"/>
      <c r="L24" s="294"/>
      <c r="M24" s="294"/>
      <c r="N24" s="294"/>
      <c r="O24" s="294"/>
      <c r="P24" s="294"/>
      <c r="Q24" s="294"/>
      <c r="R24" s="310"/>
      <c r="T24" s="114">
        <v>3015</v>
      </c>
      <c r="U24" s="115">
        <v>200</v>
      </c>
      <c r="V24" s="116">
        <v>44683</v>
      </c>
      <c r="W24" s="117"/>
    </row>
    <row r="25" spans="1:23" x14ac:dyDescent="0.25">
      <c r="B25" s="280" t="s">
        <v>155</v>
      </c>
      <c r="C25" s="298">
        <f t="shared" si="6"/>
        <v>0</v>
      </c>
      <c r="D25" s="313">
        <f t="shared" si="7"/>
        <v>0</v>
      </c>
      <c r="E25" s="274">
        <v>1</v>
      </c>
      <c r="F25" s="323">
        <f t="shared" si="8"/>
        <v>0</v>
      </c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312"/>
      <c r="T25" s="128">
        <v>3017</v>
      </c>
      <c r="U25" s="129">
        <v>900</v>
      </c>
      <c r="V25" s="131">
        <v>44688</v>
      </c>
      <c r="W25" s="130" t="s">
        <v>156</v>
      </c>
    </row>
    <row r="26" spans="1:23" ht="15.75" thickBot="1" x14ac:dyDescent="0.3">
      <c r="B26" s="326" t="str">
        <f>'CB-17'!B26</f>
        <v>Books</v>
      </c>
      <c r="C26" s="298">
        <f t="shared" si="6"/>
        <v>0</v>
      </c>
      <c r="D26" s="313">
        <f t="shared" si="7"/>
        <v>0</v>
      </c>
      <c r="E26" s="274">
        <v>1</v>
      </c>
      <c r="F26" s="323">
        <f t="shared" si="8"/>
        <v>0</v>
      </c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324"/>
      <c r="T26" s="128">
        <v>3018</v>
      </c>
      <c r="U26" s="129">
        <v>925</v>
      </c>
      <c r="V26" s="131">
        <v>44688</v>
      </c>
      <c r="W26" s="130" t="s">
        <v>156</v>
      </c>
    </row>
    <row r="27" spans="1:23" ht="15.75" thickBot="1" x14ac:dyDescent="0.3">
      <c r="B27" s="306" t="str">
        <f>'CB-17'!B27</f>
        <v>GOVERNMENT FEES</v>
      </c>
      <c r="C27" s="379">
        <f>SUM(C28:C34)</f>
        <v>11572.2</v>
      </c>
      <c r="D27" s="307" t="s">
        <v>60</v>
      </c>
      <c r="E27" s="411" t="s">
        <v>61</v>
      </c>
      <c r="F27" s="307" t="s">
        <v>62</v>
      </c>
      <c r="G27" s="381">
        <f>SUM(G28:G34)</f>
        <v>19</v>
      </c>
      <c r="H27" s="381">
        <f t="shared" ref="H27:R27" si="9">SUM(H28:H34)</f>
        <v>0</v>
      </c>
      <c r="I27" s="381">
        <f t="shared" si="9"/>
        <v>511.1</v>
      </c>
      <c r="J27" s="381">
        <f t="shared" si="9"/>
        <v>0</v>
      </c>
      <c r="K27" s="381">
        <f t="shared" si="9"/>
        <v>1746.69</v>
      </c>
      <c r="L27" s="381">
        <f t="shared" si="9"/>
        <v>4316.97</v>
      </c>
      <c r="M27" s="381">
        <f t="shared" si="9"/>
        <v>0</v>
      </c>
      <c r="N27" s="381">
        <f t="shared" si="9"/>
        <v>676.67000000000007</v>
      </c>
      <c r="O27" s="381">
        <f t="shared" si="9"/>
        <v>0</v>
      </c>
      <c r="P27" s="381">
        <f t="shared" si="9"/>
        <v>0</v>
      </c>
      <c r="Q27" s="381">
        <f t="shared" si="9"/>
        <v>3627.9199999999996</v>
      </c>
      <c r="R27" s="381">
        <f t="shared" si="9"/>
        <v>673.85</v>
      </c>
      <c r="T27" s="128">
        <v>3039</v>
      </c>
      <c r="U27" s="129">
        <v>108</v>
      </c>
      <c r="V27" s="131">
        <v>44712</v>
      </c>
      <c r="W27" s="130" t="s">
        <v>152</v>
      </c>
    </row>
    <row r="28" spans="1:23" x14ac:dyDescent="0.25">
      <c r="B28" s="280" t="str">
        <f>'CB-17'!B28</f>
        <v>Biz Registration</v>
      </c>
      <c r="C28" s="298">
        <f t="shared" ref="C28:C34" si="10">F28</f>
        <v>0</v>
      </c>
      <c r="D28" s="313">
        <f t="shared" ref="D28:D34" si="11">E28*F28</f>
        <v>0</v>
      </c>
      <c r="E28" s="274">
        <f>'CB-17'!E28</f>
        <v>1</v>
      </c>
      <c r="F28" s="298">
        <f t="shared" ref="F28:F34" si="12">SUM(G28:R28)</f>
        <v>0</v>
      </c>
      <c r="G28" s="294"/>
      <c r="H28" s="294"/>
      <c r="I28" s="294"/>
      <c r="J28" s="294"/>
      <c r="K28" s="294"/>
      <c r="L28" s="294"/>
      <c r="M28" s="294"/>
      <c r="N28" s="294"/>
      <c r="O28" s="294"/>
      <c r="P28" s="294"/>
      <c r="Q28" s="294"/>
      <c r="R28" s="310"/>
      <c r="T28" s="114">
        <v>3581</v>
      </c>
      <c r="U28" s="115">
        <v>300</v>
      </c>
      <c r="V28" s="116">
        <v>44684</v>
      </c>
      <c r="W28" s="117" t="s">
        <v>96</v>
      </c>
    </row>
    <row r="29" spans="1:23" x14ac:dyDescent="0.25">
      <c r="B29" s="280" t="str">
        <f>'CB-17'!B29</f>
        <v>Licensing</v>
      </c>
      <c r="C29" s="298">
        <f t="shared" si="10"/>
        <v>0</v>
      </c>
      <c r="D29" s="313">
        <f t="shared" si="11"/>
        <v>0</v>
      </c>
      <c r="E29" s="274">
        <f>'CB-17'!E29</f>
        <v>1</v>
      </c>
      <c r="F29" s="298">
        <f t="shared" si="12"/>
        <v>0</v>
      </c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312"/>
      <c r="T29" s="128">
        <v>9915</v>
      </c>
      <c r="U29" s="129">
        <v>200</v>
      </c>
      <c r="V29" s="131">
        <v>44699</v>
      </c>
      <c r="W29" s="130" t="s">
        <v>98</v>
      </c>
    </row>
    <row r="30" spans="1:23" x14ac:dyDescent="0.25">
      <c r="B30" s="280" t="str">
        <f>'CB-17'!B30</f>
        <v>WA DOR Excise Tax</v>
      </c>
      <c r="C30" s="298">
        <f t="shared" si="10"/>
        <v>11572.2</v>
      </c>
      <c r="D30" s="313">
        <f t="shared" si="11"/>
        <v>11572.2</v>
      </c>
      <c r="E30" s="274">
        <f>'CB-17'!E30</f>
        <v>1</v>
      </c>
      <c r="F30" s="298">
        <f t="shared" si="12"/>
        <v>11572.2</v>
      </c>
      <c r="G30" s="294">
        <f>U3</f>
        <v>19</v>
      </c>
      <c r="H30" s="294"/>
      <c r="I30" s="293">
        <v>511.1</v>
      </c>
      <c r="J30" s="327"/>
      <c r="K30" s="294">
        <f>854.49+892.2</f>
        <v>1746.69</v>
      </c>
      <c r="L30" s="294">
        <f>538.48+550.38+551.04+604.82+U30</f>
        <v>4316.97</v>
      </c>
      <c r="M30" s="294"/>
      <c r="N30" s="294">
        <f>125.97+550.7</f>
        <v>676.67000000000007</v>
      </c>
      <c r="O30" s="294"/>
      <c r="P30" s="294"/>
      <c r="Q30" s="294">
        <f>715.48+838.47+1264.37+769.24+40.36</f>
        <v>3627.9199999999996</v>
      </c>
      <c r="R30" s="310">
        <f>673.85</f>
        <v>673.85</v>
      </c>
      <c r="T30" s="114">
        <v>3019</v>
      </c>
      <c r="U30" s="115">
        <v>2072.25</v>
      </c>
      <c r="V30" s="116">
        <v>44733</v>
      </c>
      <c r="W30" s="117" t="s">
        <v>157</v>
      </c>
    </row>
    <row r="31" spans="1:23" x14ac:dyDescent="0.25">
      <c r="B31" s="280" t="str">
        <f>'CB-17'!B31</f>
        <v>Garnishment Fee</v>
      </c>
      <c r="C31" s="298">
        <f t="shared" si="10"/>
        <v>0</v>
      </c>
      <c r="D31" s="313">
        <f t="shared" si="11"/>
        <v>0</v>
      </c>
      <c r="E31" s="274">
        <f>'CB-17'!E31</f>
        <v>1</v>
      </c>
      <c r="F31" s="298">
        <f t="shared" si="12"/>
        <v>0</v>
      </c>
      <c r="G31" s="294"/>
      <c r="H31" s="294"/>
      <c r="I31" s="294"/>
      <c r="J31" s="294"/>
      <c r="K31" s="294"/>
      <c r="L31" s="294"/>
      <c r="M31" s="294"/>
      <c r="N31" s="294"/>
      <c r="O31" s="294"/>
      <c r="P31" s="294"/>
      <c r="Q31" s="294"/>
      <c r="R31" s="310"/>
      <c r="T31" s="128">
        <v>3020</v>
      </c>
      <c r="U31" s="129">
        <v>206</v>
      </c>
      <c r="V31" s="131">
        <v>44732</v>
      </c>
      <c r="W31" s="130" t="s">
        <v>94</v>
      </c>
    </row>
    <row r="32" spans="1:23" x14ac:dyDescent="0.25">
      <c r="B32" s="280" t="str">
        <f>'CB-17'!B32</f>
        <v>LNI Insurance</v>
      </c>
      <c r="C32" s="298">
        <f t="shared" si="10"/>
        <v>0</v>
      </c>
      <c r="D32" s="313">
        <f t="shared" si="11"/>
        <v>0</v>
      </c>
      <c r="E32" s="274">
        <f>'CB-17'!E32</f>
        <v>1</v>
      </c>
      <c r="F32" s="298">
        <f t="shared" si="12"/>
        <v>0</v>
      </c>
      <c r="G32" s="294"/>
      <c r="H32" s="294"/>
      <c r="I32" s="294"/>
      <c r="J32" s="294"/>
      <c r="K32" s="294"/>
      <c r="L32" s="294"/>
      <c r="M32" s="294"/>
      <c r="N32" s="294"/>
      <c r="O32" s="294"/>
      <c r="P32" s="294"/>
      <c r="Q32" s="294"/>
      <c r="R32" s="310"/>
      <c r="T32" s="128">
        <v>3040</v>
      </c>
      <c r="U32" s="129">
        <v>400</v>
      </c>
      <c r="V32" s="131">
        <v>44716</v>
      </c>
      <c r="W32" s="130" t="s">
        <v>94</v>
      </c>
    </row>
    <row r="33" spans="1:23" x14ac:dyDescent="0.25">
      <c r="B33" s="280" t="str">
        <f>'CB-17'!B33</f>
        <v>WA Employment Security</v>
      </c>
      <c r="C33" s="298">
        <f t="shared" si="10"/>
        <v>0</v>
      </c>
      <c r="D33" s="313">
        <f t="shared" si="11"/>
        <v>0</v>
      </c>
      <c r="E33" s="274">
        <f>'CB-17'!E33</f>
        <v>1</v>
      </c>
      <c r="F33" s="298">
        <f t="shared" si="12"/>
        <v>0</v>
      </c>
      <c r="G33" s="294"/>
      <c r="H33" s="294"/>
      <c r="I33" s="294"/>
      <c r="J33" s="294"/>
      <c r="K33" s="294"/>
      <c r="L33" s="294"/>
      <c r="M33" s="294"/>
      <c r="N33" s="294"/>
      <c r="O33" s="294"/>
      <c r="P33" s="294"/>
      <c r="Q33" s="294"/>
      <c r="R33" s="310"/>
      <c r="T33" s="128">
        <v>3041</v>
      </c>
      <c r="U33" s="129">
        <v>433</v>
      </c>
      <c r="V33" s="131">
        <v>44718</v>
      </c>
      <c r="W33" s="130" t="s">
        <v>94</v>
      </c>
    </row>
    <row r="34" spans="1:23" ht="15.75" thickBot="1" x14ac:dyDescent="0.3">
      <c r="B34" s="134" t="str">
        <f>'CB-17'!B34</f>
        <v>Commercial Insurance</v>
      </c>
      <c r="C34" s="298">
        <f t="shared" si="10"/>
        <v>0</v>
      </c>
      <c r="D34" s="313">
        <f t="shared" si="11"/>
        <v>0</v>
      </c>
      <c r="E34" s="274">
        <f>'CB-17'!E34</f>
        <v>1</v>
      </c>
      <c r="F34" s="298">
        <f t="shared" si="12"/>
        <v>0</v>
      </c>
      <c r="R34" s="515"/>
      <c r="T34" s="128">
        <v>3042</v>
      </c>
      <c r="U34" s="129">
        <v>300</v>
      </c>
      <c r="V34" s="131">
        <v>44723</v>
      </c>
      <c r="W34" s="130" t="s">
        <v>94</v>
      </c>
    </row>
    <row r="35" spans="1:23" ht="15.75" thickBot="1" x14ac:dyDescent="0.3">
      <c r="B35" s="306" t="str">
        <f>'CB-17'!B35</f>
        <v>PROFESSIONAL SERVICES</v>
      </c>
      <c r="C35" s="427">
        <f>SUM(C36:C44)</f>
        <v>875</v>
      </c>
      <c r="D35" s="307" t="s">
        <v>60</v>
      </c>
      <c r="E35" s="411" t="str">
        <f>'CB-17'!E35</f>
        <v>Rate</v>
      </c>
      <c r="F35" s="307" t="s">
        <v>62</v>
      </c>
      <c r="G35" s="381">
        <f>SUM(G36:G44)</f>
        <v>0</v>
      </c>
      <c r="H35" s="381">
        <f t="shared" ref="H35:R35" si="13">SUM(H36:H44)</f>
        <v>0</v>
      </c>
      <c r="I35" s="381">
        <f t="shared" si="13"/>
        <v>105</v>
      </c>
      <c r="J35" s="381">
        <f t="shared" si="13"/>
        <v>0</v>
      </c>
      <c r="K35" s="381">
        <f t="shared" si="13"/>
        <v>47.5</v>
      </c>
      <c r="L35" s="381">
        <f t="shared" si="13"/>
        <v>122.5</v>
      </c>
      <c r="M35" s="381">
        <f t="shared" si="13"/>
        <v>0</v>
      </c>
      <c r="N35" s="381">
        <f t="shared" si="13"/>
        <v>0</v>
      </c>
      <c r="O35" s="381">
        <f t="shared" si="13"/>
        <v>0</v>
      </c>
      <c r="P35" s="381">
        <f t="shared" si="13"/>
        <v>0</v>
      </c>
      <c r="Q35" s="381">
        <f t="shared" si="13"/>
        <v>600</v>
      </c>
      <c r="R35" s="381">
        <f t="shared" si="13"/>
        <v>0</v>
      </c>
      <c r="T35" s="114">
        <v>3583</v>
      </c>
      <c r="U35" s="115">
        <v>300</v>
      </c>
      <c r="V35" s="116">
        <v>44745</v>
      </c>
      <c r="W35" s="117" t="s">
        <v>96</v>
      </c>
    </row>
    <row r="36" spans="1:23" x14ac:dyDescent="0.25">
      <c r="A36" t="s">
        <v>158</v>
      </c>
      <c r="B36" s="311" t="str">
        <f>'CB-17'!B36</f>
        <v>Web Domains</v>
      </c>
      <c r="C36" s="298">
        <f>F36</f>
        <v>0</v>
      </c>
      <c r="D36" s="313">
        <f>E36*F36</f>
        <v>0</v>
      </c>
      <c r="E36" s="274">
        <f>'CB-17'!E36</f>
        <v>1</v>
      </c>
      <c r="F36" s="298">
        <f>SUM(G36:R36)</f>
        <v>0</v>
      </c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312"/>
      <c r="T36" s="128">
        <v>9917</v>
      </c>
      <c r="U36" s="129">
        <v>200</v>
      </c>
      <c r="V36" s="131">
        <v>44760</v>
      </c>
      <c r="W36" s="130" t="s">
        <v>98</v>
      </c>
    </row>
    <row r="37" spans="1:23" x14ac:dyDescent="0.25">
      <c r="A37" t="s">
        <v>135</v>
      </c>
      <c r="B37" s="311" t="str">
        <f>'CB-17'!B37</f>
        <v>Web Hosting</v>
      </c>
      <c r="C37" s="298">
        <f t="shared" ref="C37:C44" si="14">F37</f>
        <v>0</v>
      </c>
      <c r="D37" s="313">
        <f t="shared" ref="D37:D44" si="15">E37*F37</f>
        <v>0</v>
      </c>
      <c r="E37" s="274">
        <f>'CB-17'!E37</f>
        <v>1</v>
      </c>
      <c r="F37" s="298">
        <f t="shared" ref="F37:F58" si="16">SUM(G37:R37)</f>
        <v>0</v>
      </c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312"/>
      <c r="T37" s="128">
        <v>3022</v>
      </c>
      <c r="U37" s="129">
        <v>570</v>
      </c>
      <c r="V37" s="131">
        <v>44779</v>
      </c>
      <c r="W37" s="130" t="s">
        <v>94</v>
      </c>
    </row>
    <row r="38" spans="1:23" x14ac:dyDescent="0.25">
      <c r="B38" s="311" t="str">
        <f>'CB-17'!B38</f>
        <v>Digital Ads</v>
      </c>
      <c r="C38" s="298">
        <f t="shared" si="14"/>
        <v>0</v>
      </c>
      <c r="D38" s="313">
        <f t="shared" si="15"/>
        <v>0</v>
      </c>
      <c r="E38" s="274">
        <f>'CB-17'!E38</f>
        <v>1</v>
      </c>
      <c r="F38" s="298">
        <f t="shared" si="16"/>
        <v>0</v>
      </c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312"/>
      <c r="T38" s="128">
        <v>3023</v>
      </c>
      <c r="U38" s="129">
        <v>350</v>
      </c>
      <c r="V38" s="131">
        <v>44779</v>
      </c>
      <c r="W38" s="130" t="s">
        <v>94</v>
      </c>
    </row>
    <row r="39" spans="1:23" x14ac:dyDescent="0.25">
      <c r="B39" s="311" t="str">
        <f>'CB-17'!B39</f>
        <v>Logo Services</v>
      </c>
      <c r="C39" s="298">
        <f t="shared" si="14"/>
        <v>0</v>
      </c>
      <c r="D39" s="313">
        <f t="shared" si="15"/>
        <v>0</v>
      </c>
      <c r="E39" s="274">
        <f>'CB-17'!E39</f>
        <v>1</v>
      </c>
      <c r="F39" s="298">
        <f t="shared" si="16"/>
        <v>0</v>
      </c>
      <c r="G39" s="294"/>
      <c r="H39" s="294"/>
      <c r="I39" s="294"/>
      <c r="J39" s="294"/>
      <c r="K39" s="294"/>
      <c r="L39" s="294"/>
      <c r="M39" s="294"/>
      <c r="N39" s="294"/>
      <c r="O39" s="294"/>
      <c r="P39" s="294"/>
      <c r="Q39" s="294"/>
      <c r="R39" s="310"/>
      <c r="T39" s="128">
        <v>3024</v>
      </c>
      <c r="U39" s="129">
        <v>151</v>
      </c>
      <c r="V39" s="131">
        <v>44794</v>
      </c>
      <c r="W39" s="130" t="s">
        <v>94</v>
      </c>
    </row>
    <row r="40" spans="1:23" x14ac:dyDescent="0.25">
      <c r="B40" s="311" t="str">
        <f>'CB-17'!B40</f>
        <v>Temp Services</v>
      </c>
      <c r="C40" s="298">
        <f t="shared" si="14"/>
        <v>0</v>
      </c>
      <c r="D40" s="313">
        <f t="shared" si="15"/>
        <v>0</v>
      </c>
      <c r="E40" s="274">
        <f>'CB-17'!E40</f>
        <v>1</v>
      </c>
      <c r="F40" s="298">
        <f t="shared" si="16"/>
        <v>0</v>
      </c>
      <c r="G40" s="294"/>
      <c r="H40" s="294"/>
      <c r="I40" s="294"/>
      <c r="J40" s="294"/>
      <c r="K40" s="294"/>
      <c r="L40" s="294"/>
      <c r="M40" s="294"/>
      <c r="N40" s="294"/>
      <c r="O40" s="294"/>
      <c r="P40" s="294"/>
      <c r="Q40" s="294"/>
      <c r="R40" s="310"/>
      <c r="T40" s="128">
        <v>3025</v>
      </c>
      <c r="U40" s="129">
        <v>180</v>
      </c>
      <c r="V40" s="131">
        <v>44794</v>
      </c>
      <c r="W40" s="130" t="s">
        <v>94</v>
      </c>
    </row>
    <row r="41" spans="1:23" x14ac:dyDescent="0.25">
      <c r="B41" s="311" t="str">
        <f>'CB-17'!B41</f>
        <v>Professional Services</v>
      </c>
      <c r="C41" s="298">
        <f t="shared" si="14"/>
        <v>600</v>
      </c>
      <c r="D41" s="313">
        <f t="shared" si="15"/>
        <v>600</v>
      </c>
      <c r="E41" s="274">
        <f>'CB-17'!E41</f>
        <v>1</v>
      </c>
      <c r="F41" s="298">
        <f t="shared" si="16"/>
        <v>600</v>
      </c>
      <c r="G41" s="294"/>
      <c r="H41" s="294"/>
      <c r="I41" s="294"/>
      <c r="J41" s="294"/>
      <c r="K41" s="294"/>
      <c r="L41" s="294"/>
      <c r="M41" s="294"/>
      <c r="N41" s="294"/>
      <c r="O41" s="294"/>
      <c r="P41" s="294"/>
      <c r="Q41" s="294">
        <v>600</v>
      </c>
      <c r="R41" s="310"/>
      <c r="T41" s="114">
        <v>3584</v>
      </c>
      <c r="U41" s="115">
        <v>300</v>
      </c>
      <c r="V41" s="116">
        <v>44776</v>
      </c>
      <c r="W41" s="117" t="s">
        <v>96</v>
      </c>
    </row>
    <row r="42" spans="1:23" x14ac:dyDescent="0.25">
      <c r="B42" s="311" t="str">
        <f>'CB-17'!B42</f>
        <v>Bank Fees</v>
      </c>
      <c r="C42" s="298">
        <f t="shared" si="14"/>
        <v>275</v>
      </c>
      <c r="D42" s="313">
        <f t="shared" si="15"/>
        <v>275</v>
      </c>
      <c r="E42" s="274">
        <f>'CB-17'!E42</f>
        <v>1</v>
      </c>
      <c r="F42" s="298">
        <f t="shared" si="16"/>
        <v>275</v>
      </c>
      <c r="G42" s="294"/>
      <c r="H42" s="294"/>
      <c r="I42" s="294">
        <v>105</v>
      </c>
      <c r="J42" s="294"/>
      <c r="K42" s="294">
        <v>47.5</v>
      </c>
      <c r="L42" s="294">
        <f>105+17.5</f>
        <v>122.5</v>
      </c>
      <c r="M42" s="294"/>
      <c r="N42" s="294"/>
      <c r="O42" s="294"/>
      <c r="P42" s="294"/>
      <c r="Q42" s="294"/>
      <c r="R42" s="310"/>
      <c r="T42" s="128">
        <v>9918</v>
      </c>
      <c r="U42" s="129">
        <v>200</v>
      </c>
      <c r="V42" s="131">
        <v>44793</v>
      </c>
      <c r="W42" s="130" t="s">
        <v>98</v>
      </c>
    </row>
    <row r="43" spans="1:23" x14ac:dyDescent="0.25">
      <c r="B43" s="311" t="str">
        <f>'CB-17'!B43</f>
        <v>Legal Membership</v>
      </c>
      <c r="C43" s="298">
        <f t="shared" si="14"/>
        <v>0</v>
      </c>
      <c r="D43" s="313">
        <f t="shared" si="15"/>
        <v>0</v>
      </c>
      <c r="E43" s="274">
        <f>'CB-17'!E43</f>
        <v>1</v>
      </c>
      <c r="F43" s="298">
        <f t="shared" si="16"/>
        <v>0</v>
      </c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312"/>
      <c r="T43" s="128">
        <v>3045</v>
      </c>
      <c r="U43" s="129">
        <v>135</v>
      </c>
      <c r="V43" s="131">
        <v>44814</v>
      </c>
      <c r="W43" s="130" t="s">
        <v>94</v>
      </c>
    </row>
    <row r="44" spans="1:23" ht="15.75" thickBot="1" x14ac:dyDescent="0.3">
      <c r="B44" s="311" t="str">
        <f>'CB-17'!B44</f>
        <v>Business Insurance</v>
      </c>
      <c r="C44" s="298">
        <f t="shared" si="14"/>
        <v>0</v>
      </c>
      <c r="D44" s="313">
        <f t="shared" si="15"/>
        <v>0</v>
      </c>
      <c r="E44" s="274">
        <f>'CB-17'!E44</f>
        <v>1</v>
      </c>
      <c r="F44" s="298">
        <f t="shared" si="16"/>
        <v>0</v>
      </c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312"/>
      <c r="T44" s="128">
        <v>3046</v>
      </c>
      <c r="U44" s="129">
        <v>165</v>
      </c>
      <c r="V44" s="131">
        <v>44814</v>
      </c>
      <c r="W44" s="130" t="s">
        <v>94</v>
      </c>
    </row>
    <row r="45" spans="1:23" ht="15.75" thickBot="1" x14ac:dyDescent="0.3">
      <c r="B45" s="136" t="str">
        <f>'CB-17'!B45</f>
        <v>SUBSCRIPTIONS</v>
      </c>
      <c r="C45" s="429">
        <f>SUM(C46:C58)</f>
        <v>139.72</v>
      </c>
      <c r="D45" s="307" t="s">
        <v>60</v>
      </c>
      <c r="E45" s="411" t="str">
        <f>'CB-17'!E45</f>
        <v>Rate</v>
      </c>
      <c r="F45" s="307" t="s">
        <v>62</v>
      </c>
      <c r="G45" s="160">
        <f t="shared" ref="G45:R45" si="17">SUM(G49:G58)</f>
        <v>95.73</v>
      </c>
      <c r="H45" s="161">
        <f t="shared" si="17"/>
        <v>0</v>
      </c>
      <c r="I45" s="161">
        <f t="shared" si="17"/>
        <v>43.99</v>
      </c>
      <c r="J45" s="161">
        <f t="shared" si="17"/>
        <v>0</v>
      </c>
      <c r="K45" s="161">
        <f t="shared" si="17"/>
        <v>0</v>
      </c>
      <c r="L45" s="161">
        <f t="shared" si="17"/>
        <v>0</v>
      </c>
      <c r="M45" s="161">
        <f t="shared" si="17"/>
        <v>0</v>
      </c>
      <c r="N45" s="161">
        <f t="shared" si="17"/>
        <v>0</v>
      </c>
      <c r="O45" s="161">
        <f t="shared" si="17"/>
        <v>0</v>
      </c>
      <c r="P45" s="161">
        <f t="shared" si="17"/>
        <v>0</v>
      </c>
      <c r="Q45" s="161">
        <f t="shared" si="17"/>
        <v>0</v>
      </c>
      <c r="R45" s="162">
        <f t="shared" si="17"/>
        <v>0</v>
      </c>
      <c r="T45" s="114">
        <v>3047</v>
      </c>
      <c r="U45" s="115">
        <v>1449.68</v>
      </c>
      <c r="V45" s="116">
        <v>44913</v>
      </c>
      <c r="W45" s="117" t="s">
        <v>109</v>
      </c>
    </row>
    <row r="46" spans="1:23" x14ac:dyDescent="0.25">
      <c r="B46" s="311" t="str">
        <f>'CB-17'!B46</f>
        <v>Apple.com</v>
      </c>
      <c r="C46" s="460">
        <f t="shared" ref="C46:C48" si="18">E46*D46</f>
        <v>0</v>
      </c>
      <c r="D46" s="297">
        <f t="shared" ref="D46:D56" si="19">E46*F46</f>
        <v>0</v>
      </c>
      <c r="E46" s="274">
        <f>'CB-17'!E46</f>
        <v>0.5</v>
      </c>
      <c r="F46" s="298">
        <f t="shared" si="16"/>
        <v>0</v>
      </c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312"/>
      <c r="T46" s="128">
        <v>9922</v>
      </c>
      <c r="U46" s="129">
        <v>200</v>
      </c>
      <c r="V46" s="131">
        <v>44913</v>
      </c>
      <c r="W46" s="130" t="s">
        <v>98</v>
      </c>
    </row>
    <row r="47" spans="1:23" x14ac:dyDescent="0.25">
      <c r="B47" s="311" t="str">
        <f>'CB-17'!B47</f>
        <v>Audible.com</v>
      </c>
      <c r="C47" s="460">
        <f t="shared" si="18"/>
        <v>0</v>
      </c>
      <c r="D47" s="297">
        <f t="shared" si="19"/>
        <v>0</v>
      </c>
      <c r="E47" s="274">
        <f>'CB-17'!E47</f>
        <v>1</v>
      </c>
      <c r="F47" s="298">
        <f t="shared" si="16"/>
        <v>0</v>
      </c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312"/>
    </row>
    <row r="48" spans="1:23" x14ac:dyDescent="0.25">
      <c r="B48" s="311" t="str">
        <f>'CB-17'!B48</f>
        <v>Amazon</v>
      </c>
      <c r="C48" s="460">
        <f t="shared" si="18"/>
        <v>0</v>
      </c>
      <c r="D48" s="297">
        <f t="shared" si="19"/>
        <v>0</v>
      </c>
      <c r="E48" s="274">
        <f>'CB-17'!E48</f>
        <v>0.5</v>
      </c>
      <c r="F48" s="298">
        <f t="shared" si="16"/>
        <v>0</v>
      </c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312"/>
    </row>
    <row r="49" spans="2:18" x14ac:dyDescent="0.25">
      <c r="B49" s="311" t="str">
        <f>'CB-17'!B49</f>
        <v>Cloud Academy</v>
      </c>
      <c r="C49" s="460">
        <f t="shared" ref="C49:C57" si="20">E49*D49</f>
        <v>0</v>
      </c>
      <c r="D49" s="297">
        <f t="shared" ref="D49:D57" si="21">E49*F49</f>
        <v>0</v>
      </c>
      <c r="E49" s="274">
        <v>1</v>
      </c>
      <c r="F49" s="298">
        <f t="shared" si="16"/>
        <v>0</v>
      </c>
      <c r="G49" s="294"/>
      <c r="H49" s="294"/>
      <c r="I49" s="294"/>
      <c r="J49" s="294"/>
      <c r="K49" s="294"/>
      <c r="L49" s="294"/>
      <c r="M49" s="294"/>
      <c r="N49" s="294"/>
      <c r="O49" s="294"/>
      <c r="P49" s="294"/>
      <c r="Q49" s="294"/>
      <c r="R49" s="310"/>
    </row>
    <row r="50" spans="2:18" x14ac:dyDescent="0.25">
      <c r="B50" s="311" t="str">
        <f>'CB-17'!B50</f>
        <v>Packt</v>
      </c>
      <c r="C50" s="460">
        <f t="shared" si="20"/>
        <v>0</v>
      </c>
      <c r="D50" s="297">
        <f t="shared" si="19"/>
        <v>0</v>
      </c>
      <c r="E50" s="274">
        <v>1</v>
      </c>
      <c r="F50" s="298">
        <f t="shared" si="16"/>
        <v>0</v>
      </c>
      <c r="G50" s="294"/>
      <c r="H50" s="294"/>
      <c r="I50" s="294"/>
      <c r="J50" s="294"/>
      <c r="K50" s="294"/>
      <c r="L50" s="294"/>
      <c r="M50" s="294"/>
      <c r="N50" s="294"/>
      <c r="O50" s="294"/>
      <c r="P50" s="294"/>
      <c r="Q50" s="294"/>
      <c r="R50" s="310"/>
    </row>
    <row r="51" spans="2:18" x14ac:dyDescent="0.25">
      <c r="B51" s="311" t="str">
        <f>'CB-17'!B51</f>
        <v>Pluralsight</v>
      </c>
      <c r="C51" s="460">
        <f t="shared" si="20"/>
        <v>95.73</v>
      </c>
      <c r="D51" s="297">
        <f t="shared" si="19"/>
        <v>95.73</v>
      </c>
      <c r="E51" s="274">
        <v>1</v>
      </c>
      <c r="F51" s="298">
        <f t="shared" si="16"/>
        <v>95.73</v>
      </c>
      <c r="G51" s="294">
        <f>31.91*3</f>
        <v>95.73</v>
      </c>
      <c r="H51" s="294"/>
      <c r="I51" s="294"/>
      <c r="J51" s="294"/>
      <c r="K51" s="294"/>
      <c r="L51" s="294"/>
      <c r="M51" s="294"/>
      <c r="N51" s="294"/>
      <c r="O51" s="294"/>
      <c r="P51" s="294"/>
      <c r="Q51" s="294"/>
      <c r="R51" s="310"/>
    </row>
    <row r="52" spans="2:18" x14ac:dyDescent="0.25">
      <c r="B52" s="311" t="str">
        <f>'CB-17'!B52</f>
        <v>Linux Academy</v>
      </c>
      <c r="C52" s="460">
        <f t="shared" si="20"/>
        <v>0</v>
      </c>
      <c r="D52" s="297">
        <f t="shared" si="19"/>
        <v>0</v>
      </c>
      <c r="E52" s="274">
        <v>1</v>
      </c>
      <c r="F52" s="298">
        <f t="shared" si="16"/>
        <v>0</v>
      </c>
      <c r="G52" s="294"/>
      <c r="H52" s="294"/>
      <c r="I52" s="294"/>
      <c r="J52" s="294"/>
      <c r="K52" s="294"/>
      <c r="L52" s="294"/>
      <c r="M52" s="294"/>
      <c r="N52" s="294"/>
      <c r="O52" s="294"/>
      <c r="P52" s="294"/>
      <c r="Q52" s="294"/>
      <c r="R52" s="310"/>
    </row>
    <row r="53" spans="2:18" x14ac:dyDescent="0.25">
      <c r="B53" s="311" t="str">
        <f>'CB-17'!B53</f>
        <v>Adobe</v>
      </c>
      <c r="C53" s="460">
        <f t="shared" si="20"/>
        <v>0</v>
      </c>
      <c r="D53" s="297">
        <f t="shared" si="21"/>
        <v>0</v>
      </c>
      <c r="E53" s="274">
        <v>1</v>
      </c>
      <c r="F53" s="298">
        <f t="shared" si="16"/>
        <v>0</v>
      </c>
      <c r="G53" s="294"/>
      <c r="H53" s="294"/>
      <c r="I53" s="294"/>
      <c r="J53" s="294"/>
      <c r="K53" s="294"/>
      <c r="L53" s="294"/>
      <c r="M53" s="294"/>
      <c r="N53" s="294"/>
      <c r="O53" s="294"/>
      <c r="P53" s="294"/>
      <c r="Q53" s="294"/>
      <c r="R53" s="310"/>
    </row>
    <row r="54" spans="2:18" x14ac:dyDescent="0.25">
      <c r="B54" s="311" t="str">
        <f>'CB-17'!B54</f>
        <v>O365</v>
      </c>
      <c r="C54" s="460">
        <f t="shared" si="20"/>
        <v>0</v>
      </c>
      <c r="D54" s="297">
        <f t="shared" si="19"/>
        <v>0</v>
      </c>
      <c r="E54" s="274">
        <v>1</v>
      </c>
      <c r="F54" s="298">
        <f t="shared" si="16"/>
        <v>0</v>
      </c>
      <c r="G54" s="294"/>
      <c r="H54" s="294"/>
      <c r="I54" s="294"/>
      <c r="J54" s="294"/>
      <c r="K54" s="294"/>
      <c r="L54" s="294"/>
      <c r="M54" s="294"/>
      <c r="N54" s="294"/>
      <c r="O54" s="294"/>
      <c r="P54" s="294"/>
      <c r="Q54" s="294"/>
      <c r="R54" s="310"/>
    </row>
    <row r="55" spans="2:18" x14ac:dyDescent="0.25">
      <c r="B55" s="311" t="str">
        <f>'CB-17'!B55</f>
        <v>Microsoft Alumni</v>
      </c>
      <c r="C55" s="460">
        <f t="shared" si="20"/>
        <v>0</v>
      </c>
      <c r="D55" s="297">
        <f t="shared" si="19"/>
        <v>0</v>
      </c>
      <c r="E55" s="274">
        <v>1</v>
      </c>
      <c r="F55" s="298">
        <f t="shared" si="16"/>
        <v>0</v>
      </c>
      <c r="G55" s="294"/>
      <c r="H55" s="294"/>
      <c r="I55" s="294"/>
      <c r="J55" s="294"/>
      <c r="K55" s="294"/>
      <c r="L55" s="294"/>
      <c r="M55" s="294"/>
      <c r="N55" s="294"/>
      <c r="O55" s="294"/>
      <c r="P55" s="294"/>
      <c r="Q55" s="294"/>
      <c r="R55" s="310"/>
    </row>
    <row r="56" spans="2:18" x14ac:dyDescent="0.25">
      <c r="B56" s="311" t="str">
        <f>'CB-17'!B56</f>
        <v>LinkedIn</v>
      </c>
      <c r="C56" s="460">
        <f t="shared" si="20"/>
        <v>0</v>
      </c>
      <c r="D56" s="297">
        <f t="shared" si="19"/>
        <v>0</v>
      </c>
      <c r="E56" s="274">
        <v>1</v>
      </c>
      <c r="F56" s="298">
        <f t="shared" si="16"/>
        <v>0</v>
      </c>
      <c r="G56" s="294"/>
      <c r="H56" s="294"/>
      <c r="I56" s="294"/>
      <c r="J56" s="294"/>
      <c r="K56" s="294"/>
      <c r="L56" s="294"/>
      <c r="M56" s="294"/>
      <c r="N56" s="294"/>
      <c r="O56" s="294"/>
      <c r="P56" s="294"/>
      <c r="Q56" s="294"/>
      <c r="R56" s="310"/>
    </row>
    <row r="57" spans="2:18" x14ac:dyDescent="0.25">
      <c r="B57" s="311" t="str">
        <f>'CB-17'!B57</f>
        <v>DOODLY</v>
      </c>
      <c r="C57" s="460">
        <f t="shared" si="20"/>
        <v>0</v>
      </c>
      <c r="D57" s="297">
        <f t="shared" si="21"/>
        <v>0</v>
      </c>
      <c r="E57" s="274">
        <f>'CB-17'!E57</f>
        <v>1</v>
      </c>
      <c r="F57" s="298">
        <f t="shared" si="16"/>
        <v>0</v>
      </c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312"/>
    </row>
    <row r="58" spans="2:18" ht="15.75" thickBot="1" x14ac:dyDescent="0.3">
      <c r="B58" s="311" t="str">
        <f>'CB-17'!B58</f>
        <v>Whizlabs</v>
      </c>
      <c r="C58" s="460">
        <f>E58*D58</f>
        <v>43.99</v>
      </c>
      <c r="D58" s="297">
        <f>E58*F58</f>
        <v>43.99</v>
      </c>
      <c r="E58" s="274">
        <v>1</v>
      </c>
      <c r="F58" s="298">
        <f t="shared" si="16"/>
        <v>43.99</v>
      </c>
      <c r="G58" s="294"/>
      <c r="H58" s="294"/>
      <c r="I58" s="294">
        <v>43.99</v>
      </c>
      <c r="J58" s="294"/>
      <c r="K58" s="294"/>
      <c r="L58" s="294"/>
      <c r="M58" s="294"/>
      <c r="N58" s="294"/>
      <c r="O58" s="294"/>
      <c r="P58" s="294"/>
      <c r="Q58" s="294"/>
      <c r="R58" s="310"/>
    </row>
    <row r="59" spans="2:18" ht="15.75" thickBot="1" x14ac:dyDescent="0.3">
      <c r="B59" s="516" t="str">
        <f>'CB-17'!B59</f>
        <v>AUTO MILEAGE</v>
      </c>
      <c r="C59" s="391">
        <f>C60</f>
        <v>0</v>
      </c>
      <c r="D59" s="349"/>
      <c r="E59" s="349"/>
      <c r="F59" s="349">
        <f t="shared" ref="F59" si="22">SUM(G59:R59)</f>
        <v>0</v>
      </c>
      <c r="G59" s="349"/>
      <c r="H59" s="349"/>
      <c r="I59" s="349"/>
      <c r="J59" s="349"/>
      <c r="K59" s="349"/>
      <c r="L59" s="349"/>
      <c r="M59" s="349"/>
      <c r="N59" s="349"/>
      <c r="O59" s="349"/>
      <c r="P59" s="349"/>
      <c r="Q59" s="349"/>
      <c r="R59" s="517"/>
    </row>
    <row r="60" spans="2:18" x14ac:dyDescent="0.25">
      <c r="B60" s="22" t="s">
        <v>159</v>
      </c>
      <c r="C60" s="362">
        <f>D60</f>
        <v>0</v>
      </c>
      <c r="D60" s="141">
        <f>E60*F60</f>
        <v>0</v>
      </c>
      <c r="E60" s="518">
        <v>0.54500000000000004</v>
      </c>
      <c r="F60" s="353">
        <f>SUM(G60:R60)</f>
        <v>0</v>
      </c>
      <c r="R60" s="515"/>
    </row>
    <row r="61" spans="2:18" ht="15.75" thickBot="1" x14ac:dyDescent="0.3">
      <c r="B61" s="504" t="str">
        <f>'CB-17'!B61</f>
        <v>SETUP EXPENSES</v>
      </c>
      <c r="C61" s="397"/>
      <c r="D61" s="351"/>
      <c r="E61" s="351"/>
      <c r="F61" s="351"/>
      <c r="G61" s="351"/>
      <c r="H61" s="351"/>
      <c r="I61" s="351"/>
      <c r="J61" s="351"/>
      <c r="K61" s="351"/>
      <c r="L61" s="351"/>
      <c r="M61" s="351"/>
      <c r="N61" s="351"/>
      <c r="O61" s="351"/>
      <c r="P61" s="351"/>
      <c r="Q61" s="351"/>
      <c r="R61" s="505"/>
    </row>
    <row r="62" spans="2:18" ht="15.75" thickBot="1" x14ac:dyDescent="0.3">
      <c r="B62" s="390" t="str">
        <f>'CB-17'!B62</f>
        <v>WOODRIDGE OFFICE RENOVATION</v>
      </c>
      <c r="C62" s="391">
        <f>SUM(C63:C66)</f>
        <v>800</v>
      </c>
      <c r="D62" s="380" t="s">
        <v>60</v>
      </c>
      <c r="E62" s="380" t="s">
        <v>61</v>
      </c>
      <c r="F62" s="380" t="s">
        <v>62</v>
      </c>
      <c r="G62" s="381">
        <f>SUM(G63:G66)</f>
        <v>0</v>
      </c>
      <c r="H62" s="381">
        <f t="shared" ref="H62:R62" si="23">SUM(H63:H66)</f>
        <v>0</v>
      </c>
      <c r="I62" s="381">
        <f t="shared" si="23"/>
        <v>0</v>
      </c>
      <c r="J62" s="381">
        <f t="shared" si="23"/>
        <v>0</v>
      </c>
      <c r="K62" s="381">
        <f t="shared" si="23"/>
        <v>0</v>
      </c>
      <c r="L62" s="381">
        <f t="shared" si="23"/>
        <v>0</v>
      </c>
      <c r="M62" s="381">
        <f t="shared" si="23"/>
        <v>0</v>
      </c>
      <c r="N62" s="381">
        <f t="shared" si="23"/>
        <v>0</v>
      </c>
      <c r="O62" s="381">
        <f t="shared" si="23"/>
        <v>0</v>
      </c>
      <c r="P62" s="381">
        <f t="shared" si="23"/>
        <v>0</v>
      </c>
      <c r="Q62" s="381">
        <f t="shared" si="23"/>
        <v>0</v>
      </c>
      <c r="R62" s="381">
        <f t="shared" si="23"/>
        <v>800</v>
      </c>
    </row>
    <row r="63" spans="2:18" x14ac:dyDescent="0.25">
      <c r="B63" s="497" t="s">
        <v>93</v>
      </c>
      <c r="C63" s="364">
        <f>D63</f>
        <v>0</v>
      </c>
      <c r="D63" s="237">
        <f>E63*F63</f>
        <v>0</v>
      </c>
      <c r="E63" s="274">
        <v>1</v>
      </c>
      <c r="F63" s="47">
        <f t="shared" ref="F63:F75" si="24">SUM(G63:R63)</f>
        <v>0</v>
      </c>
      <c r="G63" s="398"/>
      <c r="H63" s="398"/>
      <c r="I63" s="398"/>
      <c r="J63" s="398"/>
      <c r="K63" s="398"/>
      <c r="L63" s="398"/>
      <c r="M63" s="398"/>
      <c r="N63" s="398"/>
      <c r="O63" s="398"/>
      <c r="P63" s="398"/>
      <c r="Q63" s="398"/>
      <c r="R63" s="506"/>
    </row>
    <row r="64" spans="2:18" x14ac:dyDescent="0.25">
      <c r="B64" s="497" t="s">
        <v>95</v>
      </c>
      <c r="C64" s="364">
        <f>D64</f>
        <v>0</v>
      </c>
      <c r="D64" s="237">
        <f>E64*F64</f>
        <v>0</v>
      </c>
      <c r="E64" s="274">
        <v>1</v>
      </c>
      <c r="F64" s="47">
        <f t="shared" si="24"/>
        <v>0</v>
      </c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312"/>
    </row>
    <row r="65" spans="2:18" x14ac:dyDescent="0.25">
      <c r="B65" s="497" t="s">
        <v>97</v>
      </c>
      <c r="C65" s="364">
        <f>D65</f>
        <v>0</v>
      </c>
      <c r="D65" s="237">
        <f>E65*F65</f>
        <v>0</v>
      </c>
      <c r="E65" s="274">
        <v>1</v>
      </c>
      <c r="F65" s="47">
        <f t="shared" si="24"/>
        <v>0</v>
      </c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312"/>
    </row>
    <row r="66" spans="2:18" ht="15.75" thickBot="1" x14ac:dyDescent="0.3">
      <c r="B66" s="326" t="str">
        <f>'CB-17'!B66</f>
        <v>electrical work</v>
      </c>
      <c r="C66" s="364">
        <f>D66</f>
        <v>800</v>
      </c>
      <c r="D66" s="237">
        <f>E66*F66</f>
        <v>800</v>
      </c>
      <c r="E66" s="314">
        <v>1</v>
      </c>
      <c r="F66" s="47">
        <f t="shared" si="24"/>
        <v>800</v>
      </c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324">
        <v>800</v>
      </c>
    </row>
    <row r="67" spans="2:18" ht="15.75" thickBot="1" x14ac:dyDescent="0.3">
      <c r="B67" s="390" t="str">
        <f>'CB-17'!B67</f>
        <v>INDIA OFFICE RENOVATION</v>
      </c>
      <c r="C67" s="391">
        <f>SUM(C68:C70)</f>
        <v>0</v>
      </c>
      <c r="D67" s="380" t="s">
        <v>60</v>
      </c>
      <c r="E67" s="380" t="s">
        <v>61</v>
      </c>
      <c r="F67" s="380" t="s">
        <v>62</v>
      </c>
      <c r="G67" s="381">
        <f>SUM(G68:G70)</f>
        <v>0</v>
      </c>
      <c r="H67" s="381">
        <f t="shared" ref="H67:R67" si="25">SUM(H68:H70)</f>
        <v>0</v>
      </c>
      <c r="I67" s="381">
        <f t="shared" si="25"/>
        <v>0</v>
      </c>
      <c r="J67" s="381">
        <f t="shared" si="25"/>
        <v>0</v>
      </c>
      <c r="K67" s="381">
        <f t="shared" si="25"/>
        <v>0</v>
      </c>
      <c r="L67" s="381">
        <f t="shared" si="25"/>
        <v>0</v>
      </c>
      <c r="M67" s="381">
        <f t="shared" si="25"/>
        <v>0</v>
      </c>
      <c r="N67" s="381">
        <f t="shared" si="25"/>
        <v>0</v>
      </c>
      <c r="O67" s="381">
        <f t="shared" si="25"/>
        <v>0</v>
      </c>
      <c r="P67" s="381">
        <f t="shared" si="25"/>
        <v>0</v>
      </c>
      <c r="Q67" s="381">
        <f t="shared" si="25"/>
        <v>0</v>
      </c>
      <c r="R67" s="381">
        <f t="shared" si="25"/>
        <v>0</v>
      </c>
    </row>
    <row r="68" spans="2:18" x14ac:dyDescent="0.25">
      <c r="B68" s="507" t="s">
        <v>160</v>
      </c>
      <c r="C68" s="364">
        <f>D68</f>
        <v>0</v>
      </c>
      <c r="D68" s="237">
        <f>E68*F68</f>
        <v>0</v>
      </c>
      <c r="E68" s="374">
        <v>1</v>
      </c>
      <c r="F68" s="47">
        <f t="shared" si="24"/>
        <v>0</v>
      </c>
      <c r="G68" s="398"/>
      <c r="H68" s="398"/>
      <c r="I68" s="398"/>
      <c r="J68" s="398"/>
      <c r="K68" s="398"/>
      <c r="L68" s="398"/>
      <c r="M68" s="398"/>
      <c r="N68" s="398"/>
      <c r="O68" s="398"/>
      <c r="P68" s="398"/>
      <c r="Q68" s="398"/>
      <c r="R68" s="506"/>
    </row>
    <row r="69" spans="2:18" x14ac:dyDescent="0.25">
      <c r="B69" s="311" t="s">
        <v>161</v>
      </c>
      <c r="C69" s="364">
        <f t="shared" ref="C69:C75" si="26">D69</f>
        <v>0</v>
      </c>
      <c r="D69" s="237">
        <f t="shared" ref="D69:D75" si="27">E69*F69</f>
        <v>0</v>
      </c>
      <c r="E69" s="274">
        <v>1</v>
      </c>
      <c r="F69" s="47">
        <f t="shared" si="24"/>
        <v>0</v>
      </c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312"/>
    </row>
    <row r="70" spans="2:18" ht="15.75" thickBot="1" x14ac:dyDescent="0.3">
      <c r="B70" s="326" t="s">
        <v>162</v>
      </c>
      <c r="C70" s="364">
        <f t="shared" si="26"/>
        <v>0</v>
      </c>
      <c r="D70" s="237">
        <f t="shared" si="27"/>
        <v>0</v>
      </c>
      <c r="E70" s="314">
        <v>1</v>
      </c>
      <c r="F70" s="47">
        <f t="shared" si="24"/>
        <v>0</v>
      </c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324"/>
    </row>
    <row r="71" spans="2:18" ht="15.75" thickBot="1" x14ac:dyDescent="0.3">
      <c r="B71" s="390" t="str">
        <f>'CB-17'!B71</f>
        <v>INDIA OFFICE EXPENSES</v>
      </c>
      <c r="C71" s="391">
        <f>SUM(C72:C74)</f>
        <v>0</v>
      </c>
      <c r="D71" s="380" t="s">
        <v>60</v>
      </c>
      <c r="E71" s="380" t="s">
        <v>61</v>
      </c>
      <c r="F71" s="380" t="s">
        <v>62</v>
      </c>
      <c r="G71" s="392"/>
      <c r="H71" s="392"/>
      <c r="I71" s="392"/>
      <c r="J71" s="392"/>
      <c r="K71" s="392"/>
      <c r="L71" s="392"/>
      <c r="M71" s="392"/>
      <c r="N71" s="392"/>
      <c r="O71" s="392"/>
      <c r="P71" s="392"/>
      <c r="Q71" s="392"/>
      <c r="R71" s="393"/>
    </row>
    <row r="72" spans="2:18" x14ac:dyDescent="0.25">
      <c r="B72" s="507" t="s">
        <v>163</v>
      </c>
      <c r="C72" s="364">
        <f t="shared" si="26"/>
        <v>0</v>
      </c>
      <c r="D72" s="237">
        <f t="shared" si="27"/>
        <v>0</v>
      </c>
      <c r="E72" s="374">
        <v>1</v>
      </c>
      <c r="F72" s="47">
        <f t="shared" si="24"/>
        <v>0</v>
      </c>
      <c r="G72" s="398"/>
      <c r="H72" s="398"/>
      <c r="I72" s="398"/>
      <c r="J72" s="398"/>
      <c r="K72" s="398"/>
      <c r="L72" s="398"/>
      <c r="M72" s="398"/>
      <c r="N72" s="398"/>
      <c r="O72" s="398"/>
      <c r="P72" s="398"/>
      <c r="Q72" s="398"/>
      <c r="R72" s="506"/>
    </row>
    <row r="73" spans="2:18" x14ac:dyDescent="0.25">
      <c r="B73" s="311" t="s">
        <v>164</v>
      </c>
      <c r="C73" s="364">
        <f t="shared" si="26"/>
        <v>0</v>
      </c>
      <c r="D73" s="237">
        <f t="shared" si="27"/>
        <v>0</v>
      </c>
      <c r="E73" s="274">
        <v>1</v>
      </c>
      <c r="F73" s="47">
        <f t="shared" si="24"/>
        <v>0</v>
      </c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312"/>
    </row>
    <row r="74" spans="2:18" x14ac:dyDescent="0.25">
      <c r="B74" s="311" t="s">
        <v>165</v>
      </c>
      <c r="C74" s="364">
        <f t="shared" si="26"/>
        <v>0</v>
      </c>
      <c r="D74" s="237">
        <f t="shared" si="27"/>
        <v>0</v>
      </c>
      <c r="E74" s="274">
        <v>1</v>
      </c>
      <c r="F74" s="47">
        <f t="shared" si="24"/>
        <v>0</v>
      </c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312"/>
    </row>
    <row r="75" spans="2:18" ht="15.75" thickBot="1" x14ac:dyDescent="0.3">
      <c r="B75" s="311" t="s">
        <v>166</v>
      </c>
      <c r="C75" s="364">
        <f t="shared" si="26"/>
        <v>0</v>
      </c>
      <c r="D75" s="237">
        <f t="shared" si="27"/>
        <v>0</v>
      </c>
      <c r="E75" s="274">
        <v>1</v>
      </c>
      <c r="F75" s="47">
        <f t="shared" si="24"/>
        <v>0</v>
      </c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312"/>
    </row>
    <row r="76" spans="2:18" x14ac:dyDescent="0.25">
      <c r="B76" s="136" t="s">
        <v>80</v>
      </c>
      <c r="C76" s="481" t="e">
        <f>SUM(C77:C80)</f>
        <v>#REF!</v>
      </c>
      <c r="D76" s="158"/>
      <c r="E76" s="413" t="s">
        <v>61</v>
      </c>
      <c r="F76" s="157"/>
      <c r="G76" s="160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2"/>
    </row>
    <row r="77" spans="2:18" x14ac:dyDescent="0.25">
      <c r="B77" s="132" t="s">
        <v>139</v>
      </c>
      <c r="C77" s="363">
        <f>D77</f>
        <v>847.06</v>
      </c>
      <c r="D77" s="141">
        <f>F77*E77</f>
        <v>847.06</v>
      </c>
      <c r="E77" s="374">
        <f>'CB-17'!E77</f>
        <v>1</v>
      </c>
      <c r="F77" s="142">
        <f>SUM(G77:R77)</f>
        <v>847.06</v>
      </c>
      <c r="G77" s="145"/>
      <c r="H77" s="146">
        <v>847.06</v>
      </c>
      <c r="I77" s="146"/>
      <c r="J77" s="146"/>
      <c r="K77" s="146"/>
      <c r="L77" s="146"/>
      <c r="M77" s="146"/>
      <c r="N77" s="146"/>
      <c r="O77" s="146"/>
      <c r="P77" s="146"/>
      <c r="Q77" s="146"/>
      <c r="R77" s="147"/>
    </row>
    <row r="78" spans="2:18" x14ac:dyDescent="0.25">
      <c r="B78" s="132" t="s">
        <v>140</v>
      </c>
      <c r="C78" s="363">
        <f t="shared" ref="C78:C80" si="28">D78</f>
        <v>0</v>
      </c>
      <c r="D78" s="141">
        <f t="shared" ref="D78:D80" si="29">F78*E78</f>
        <v>0</v>
      </c>
      <c r="E78" s="374">
        <f>'CB-17'!E78</f>
        <v>1</v>
      </c>
      <c r="F78" s="142">
        <f>SUM(G78:R78)</f>
        <v>0</v>
      </c>
      <c r="G78" s="145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7"/>
    </row>
    <row r="79" spans="2:18" x14ac:dyDescent="0.25">
      <c r="B79" s="132" t="s">
        <v>141</v>
      </c>
      <c r="C79" s="363" t="e">
        <f t="shared" si="28"/>
        <v>#REF!</v>
      </c>
      <c r="D79" s="141" t="e">
        <f t="shared" si="29"/>
        <v>#REF!</v>
      </c>
      <c r="E79" s="374">
        <f>'CB-17'!E79</f>
        <v>1</v>
      </c>
      <c r="F79" s="142" t="e">
        <f>SUM(G79:R79)</f>
        <v>#REF!</v>
      </c>
      <c r="G79" s="145"/>
      <c r="H79" s="146"/>
      <c r="I79" s="146"/>
      <c r="J79" s="146"/>
      <c r="K79" s="146"/>
      <c r="L79" s="146"/>
      <c r="M79" s="146"/>
      <c r="N79" s="146"/>
      <c r="O79" s="146"/>
      <c r="P79" s="146"/>
      <c r="Q79" s="146" t="e">
        <f>#REF!</f>
        <v>#REF!</v>
      </c>
      <c r="R79" s="147" t="e">
        <f>#REF!+U45</f>
        <v>#REF!</v>
      </c>
    </row>
    <row r="80" spans="2:18" ht="15.75" thickBot="1" x14ac:dyDescent="0.3">
      <c r="B80" s="137" t="s">
        <v>142</v>
      </c>
      <c r="C80" s="519">
        <f t="shared" si="28"/>
        <v>88628.29</v>
      </c>
      <c r="D80" s="164">
        <f t="shared" si="29"/>
        <v>88628.29</v>
      </c>
      <c r="E80" s="520">
        <f>'CB-17'!E80</f>
        <v>1</v>
      </c>
      <c r="F80" s="165">
        <f>SUM(H80:R80)</f>
        <v>88628.29</v>
      </c>
      <c r="G80" s="166">
        <f>3240+3960</f>
        <v>7200</v>
      </c>
      <c r="H80" s="167">
        <f>3600+4320</f>
        <v>7920</v>
      </c>
      <c r="I80" s="167">
        <f>3240+3960</f>
        <v>7200</v>
      </c>
      <c r="J80" s="167">
        <f>3960+3960</f>
        <v>7920</v>
      </c>
      <c r="K80" s="167">
        <f>3600+3960</f>
        <v>7560</v>
      </c>
      <c r="L80" s="167">
        <f>3960+3960</f>
        <v>7920</v>
      </c>
      <c r="M80" s="167">
        <v>0</v>
      </c>
      <c r="N80" s="167">
        <f>3960+608.79+3600</f>
        <v>8168.79</v>
      </c>
      <c r="O80" s="167">
        <f>827.9+3240+4320</f>
        <v>8387.9</v>
      </c>
      <c r="P80" s="167">
        <f>827.9+3960+4320+827.9+3240+827.9</f>
        <v>14003.699999999999</v>
      </c>
      <c r="Q80" s="167">
        <f>3600+3960+827.9+3960</f>
        <v>12347.9</v>
      </c>
      <c r="R80" s="168">
        <f>7200</f>
        <v>7200</v>
      </c>
    </row>
    <row r="83" spans="2:20" x14ac:dyDescent="0.25">
      <c r="B83" t="s">
        <v>167</v>
      </c>
      <c r="O83">
        <v>2328</v>
      </c>
    </row>
    <row r="84" spans="2:20" x14ac:dyDescent="0.25">
      <c r="B84" t="s">
        <v>168</v>
      </c>
      <c r="Q84">
        <v>1198</v>
      </c>
    </row>
    <row r="85" spans="2:20" x14ac:dyDescent="0.25">
      <c r="B85" t="s">
        <v>169</v>
      </c>
      <c r="Q85">
        <v>2692.25</v>
      </c>
    </row>
    <row r="86" spans="2:20" x14ac:dyDescent="0.25">
      <c r="B86" t="s">
        <v>170</v>
      </c>
    </row>
    <row r="87" spans="2:20" x14ac:dyDescent="0.25">
      <c r="B87" t="s">
        <v>171</v>
      </c>
      <c r="Q87">
        <v>4</v>
      </c>
    </row>
    <row r="89" spans="2:20" x14ac:dyDescent="0.25">
      <c r="B89" s="247"/>
      <c r="C89" s="113"/>
      <c r="D89"/>
      <c r="E89"/>
      <c r="F89"/>
      <c r="S89"/>
      <c r="T89"/>
    </row>
    <row r="90" spans="2:20" x14ac:dyDescent="0.25">
      <c r="B90" s="247"/>
      <c r="C90" s="113"/>
      <c r="D90"/>
      <c r="E90"/>
      <c r="F90"/>
      <c r="S90"/>
      <c r="T90"/>
    </row>
    <row r="91" spans="2:20" x14ac:dyDescent="0.25">
      <c r="B91" s="247"/>
      <c r="C91" s="113"/>
      <c r="D91"/>
      <c r="E91"/>
      <c r="F91"/>
      <c r="S91"/>
      <c r="T91"/>
    </row>
    <row r="92" spans="2:20" x14ac:dyDescent="0.25">
      <c r="B92" s="247"/>
      <c r="C92" s="113"/>
      <c r="D92"/>
      <c r="E92"/>
      <c r="F92"/>
      <c r="S92"/>
      <c r="T92"/>
    </row>
    <row r="93" spans="2:20" x14ac:dyDescent="0.25">
      <c r="B93" s="247"/>
      <c r="C93" s="113"/>
      <c r="D93"/>
      <c r="E93"/>
      <c r="F93"/>
      <c r="S93"/>
      <c r="T93"/>
    </row>
    <row r="94" spans="2:20" x14ac:dyDescent="0.25">
      <c r="B94" s="247"/>
      <c r="C94" s="113"/>
      <c r="D94"/>
      <c r="E94"/>
      <c r="F94"/>
      <c r="S94"/>
      <c r="T94"/>
    </row>
  </sheetData>
  <mergeCells count="3">
    <mergeCell ref="G1:R1"/>
    <mergeCell ref="T1:U1"/>
    <mergeCell ref="V1:W1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FB6FA-3466-40C1-8AA2-C2C6DD01F910}">
  <sheetPr>
    <tabColor rgb="FFC00000"/>
  </sheetPr>
  <dimension ref="A1:U80"/>
  <sheetViews>
    <sheetView workbookViewId="0">
      <pane xSplit="18" ySplit="5" topLeftCell="U6" activePane="bottomRight" state="frozen"/>
      <selection pane="topRight"/>
      <selection pane="bottomLeft"/>
      <selection pane="bottomRight" activeCell="C5" sqref="C5"/>
    </sheetView>
  </sheetViews>
  <sheetFormatPr defaultRowHeight="15" x14ac:dyDescent="0.25"/>
  <cols>
    <col min="1" max="1" width="10.42578125" hidden="1" customWidth="1"/>
    <col min="2" max="2" width="33.28515625" bestFit="1" customWidth="1"/>
    <col min="3" max="3" width="11.140625" style="365" bestFit="1" customWidth="1"/>
    <col min="4" max="4" width="9" style="1" bestFit="1" customWidth="1"/>
    <col min="5" max="5" width="7.5703125" style="1" bestFit="1" customWidth="1"/>
    <col min="6" max="6" width="12.5703125" style="42" customWidth="1"/>
    <col min="7" max="8" width="10.85546875" bestFit="1" customWidth="1"/>
    <col min="9" max="18" width="11.42578125" bestFit="1" customWidth="1"/>
  </cols>
  <sheetData>
    <row r="1" spans="1:21" x14ac:dyDescent="0.25">
      <c r="A1" s="262">
        <f>Summary!M5</f>
        <v>2017</v>
      </c>
      <c r="B1" s="487">
        <f>Summary!M5</f>
        <v>2017</v>
      </c>
      <c r="C1" s="488"/>
      <c r="D1" s="489"/>
      <c r="E1" s="489"/>
      <c r="F1" s="490"/>
      <c r="G1" s="556" t="str">
        <f>"CLOUDBAUD CONSULTING "&amp; Summary!M5 &amp; " ONLY"</f>
        <v>CLOUDBAUD CONSULTING 2017 ONLY</v>
      </c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62"/>
    </row>
    <row r="2" spans="1:21" x14ac:dyDescent="0.25">
      <c r="A2" s="486" t="s">
        <v>128</v>
      </c>
      <c r="B2" s="76"/>
      <c r="C2" s="359"/>
      <c r="D2" s="3"/>
      <c r="E2" s="300"/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115</v>
      </c>
      <c r="N2" s="3" t="s">
        <v>49</v>
      </c>
      <c r="O2" s="3" t="s">
        <v>50</v>
      </c>
      <c r="P2" s="3" t="s">
        <v>51</v>
      </c>
      <c r="Q2" s="3" t="s">
        <v>52</v>
      </c>
      <c r="R2" s="15" t="s">
        <v>53</v>
      </c>
    </row>
    <row r="3" spans="1:21" x14ac:dyDescent="0.25">
      <c r="A3" s="235" t="s">
        <v>129</v>
      </c>
      <c r="B3" s="491" t="s">
        <v>172</v>
      </c>
      <c r="C3" s="418">
        <f>F3</f>
        <v>335686.38999999996</v>
      </c>
      <c r="D3" s="419"/>
      <c r="E3" s="420"/>
      <c r="F3" s="421">
        <f>SUM(G3:R3)</f>
        <v>335686.38999999996</v>
      </c>
      <c r="G3" s="422">
        <v>0</v>
      </c>
      <c r="H3" s="423">
        <v>14642.86</v>
      </c>
      <c r="I3" s="423">
        <v>15000</v>
      </c>
      <c r="J3" s="423">
        <v>15000</v>
      </c>
      <c r="K3" s="423">
        <v>15000</v>
      </c>
      <c r="L3" s="423">
        <v>19276.36</v>
      </c>
      <c r="M3" s="423">
        <v>45348.54</v>
      </c>
      <c r="N3" s="423">
        <v>43020</v>
      </c>
      <c r="O3" s="423">
        <v>51406.16</v>
      </c>
      <c r="P3" s="423">
        <v>43020</v>
      </c>
      <c r="Q3" s="423">
        <v>42616.56</v>
      </c>
      <c r="R3" s="492">
        <v>31355.91</v>
      </c>
    </row>
    <row r="4" spans="1:21" hidden="1" x14ac:dyDescent="0.25">
      <c r="A4" s="271"/>
      <c r="B4" s="493"/>
      <c r="C4" s="360"/>
      <c r="D4" s="345"/>
      <c r="E4" s="345"/>
      <c r="F4" s="346" t="s">
        <v>58</v>
      </c>
      <c r="G4" s="347">
        <f>G3</f>
        <v>0</v>
      </c>
      <c r="H4" s="347">
        <f>G4+H3</f>
        <v>14642.86</v>
      </c>
      <c r="I4" s="347">
        <f t="shared" ref="I4:R4" si="0">H4+I3</f>
        <v>29642.86</v>
      </c>
      <c r="J4" s="347">
        <f t="shared" si="0"/>
        <v>44642.86</v>
      </c>
      <c r="K4" s="347">
        <f t="shared" si="0"/>
        <v>59642.86</v>
      </c>
      <c r="L4" s="347">
        <f t="shared" si="0"/>
        <v>78919.22</v>
      </c>
      <c r="M4" s="347">
        <f t="shared" si="0"/>
        <v>124267.76000000001</v>
      </c>
      <c r="N4" s="347">
        <f t="shared" si="0"/>
        <v>167287.76</v>
      </c>
      <c r="O4" s="347">
        <f t="shared" si="0"/>
        <v>218693.92</v>
      </c>
      <c r="P4" s="347">
        <f t="shared" si="0"/>
        <v>261713.92000000001</v>
      </c>
      <c r="Q4" s="347">
        <f t="shared" si="0"/>
        <v>304330.48</v>
      </c>
      <c r="R4" s="494">
        <f t="shared" si="0"/>
        <v>335686.38999999996</v>
      </c>
      <c r="U4" s="215"/>
    </row>
    <row r="5" spans="1:21" x14ac:dyDescent="0.25">
      <c r="B5" s="424" t="s">
        <v>173</v>
      </c>
      <c r="C5" s="425">
        <f>C7+C20+C27+C76+C35+C59+C45+C62+C67+C71</f>
        <v>1120.9717000000003</v>
      </c>
      <c r="D5" s="142"/>
      <c r="E5" s="236"/>
      <c r="F5" s="240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100"/>
    </row>
    <row r="6" spans="1:21" ht="15.75" thickBot="1" x14ac:dyDescent="0.3">
      <c r="B6" s="491" t="s">
        <v>174</v>
      </c>
      <c r="C6" s="418">
        <f>C3-C5</f>
        <v>334565.41829999996</v>
      </c>
      <c r="D6" s="142"/>
      <c r="E6" s="236"/>
      <c r="F6" s="240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100"/>
    </row>
    <row r="7" spans="1:21" ht="15.75" thickBot="1" x14ac:dyDescent="0.3">
      <c r="B7" s="378" t="s">
        <v>59</v>
      </c>
      <c r="C7" s="379">
        <f>SUM(C8:C19)</f>
        <v>448.97170000000011</v>
      </c>
      <c r="D7" s="380" t="s">
        <v>60</v>
      </c>
      <c r="E7" s="380" t="s">
        <v>61</v>
      </c>
      <c r="F7" s="380" t="s">
        <v>62</v>
      </c>
      <c r="G7" s="381">
        <f>SUM(G8:G19)</f>
        <v>350.31000000000006</v>
      </c>
      <c r="H7" s="381">
        <f t="shared" ref="H7:R7" si="1">SUM(H8:H19)</f>
        <v>238.3</v>
      </c>
      <c r="I7" s="381">
        <f t="shared" si="1"/>
        <v>189.33</v>
      </c>
      <c r="J7" s="381">
        <f t="shared" si="1"/>
        <v>236.92000000000002</v>
      </c>
      <c r="K7" s="381">
        <f t="shared" si="1"/>
        <v>105.99</v>
      </c>
      <c r="L7" s="381">
        <f t="shared" si="1"/>
        <v>91.06</v>
      </c>
      <c r="M7" s="381">
        <f t="shared" si="1"/>
        <v>88.44</v>
      </c>
      <c r="N7" s="381">
        <f t="shared" si="1"/>
        <v>210.4</v>
      </c>
      <c r="O7" s="381">
        <f t="shared" si="1"/>
        <v>236.38</v>
      </c>
      <c r="P7" s="381">
        <f t="shared" si="1"/>
        <v>304.81</v>
      </c>
      <c r="Q7" s="381">
        <f t="shared" si="1"/>
        <v>275.51</v>
      </c>
      <c r="R7" s="382">
        <f t="shared" si="1"/>
        <v>313.56</v>
      </c>
    </row>
    <row r="8" spans="1:21" x14ac:dyDescent="0.25">
      <c r="A8" s="317" t="s">
        <v>130</v>
      </c>
      <c r="B8" s="371" t="s">
        <v>175</v>
      </c>
      <c r="C8" s="372">
        <f>D8</f>
        <v>380.35800000000012</v>
      </c>
      <c r="D8" s="373">
        <f t="shared" ref="D8:D19" si="2">E8*F8</f>
        <v>380.35800000000012</v>
      </c>
      <c r="E8" s="374">
        <v>0.17</v>
      </c>
      <c r="F8" s="375">
        <f>SUM(G8:R8)</f>
        <v>2237.4000000000005</v>
      </c>
      <c r="G8" s="376">
        <v>276.41000000000003</v>
      </c>
      <c r="H8" s="376">
        <v>238.3</v>
      </c>
      <c r="I8" s="376">
        <v>189.33</v>
      </c>
      <c r="J8" s="376">
        <v>144.27000000000001</v>
      </c>
      <c r="K8" s="376">
        <v>105.99</v>
      </c>
      <c r="L8" s="376">
        <v>91.06</v>
      </c>
      <c r="M8" s="376">
        <v>88.44</v>
      </c>
      <c r="N8" s="376">
        <v>109.39</v>
      </c>
      <c r="O8" s="376">
        <v>175.01</v>
      </c>
      <c r="P8" s="376">
        <v>230.13</v>
      </c>
      <c r="Q8" s="376">
        <v>275.51</v>
      </c>
      <c r="R8" s="377">
        <v>313.56</v>
      </c>
    </row>
    <row r="9" spans="1:21" x14ac:dyDescent="0.25">
      <c r="A9" s="317" t="s">
        <v>131</v>
      </c>
      <c r="B9" s="280" t="s">
        <v>176</v>
      </c>
      <c r="C9" s="361">
        <f t="shared" ref="C9:C19" si="3">D9</f>
        <v>68.613700000000009</v>
      </c>
      <c r="D9" s="273">
        <f t="shared" si="2"/>
        <v>68.613700000000009</v>
      </c>
      <c r="E9" s="274">
        <v>0.17</v>
      </c>
      <c r="F9" s="275">
        <f t="shared" ref="F9:F44" si="4">SUM(G9:R9)</f>
        <v>403.61</v>
      </c>
      <c r="G9" s="276">
        <v>73.900000000000006</v>
      </c>
      <c r="H9" s="276"/>
      <c r="I9" s="277"/>
      <c r="J9" s="277">
        <v>92.65</v>
      </c>
      <c r="K9" s="276"/>
      <c r="L9" s="277"/>
      <c r="M9" s="277"/>
      <c r="N9" s="277">
        <v>101.01</v>
      </c>
      <c r="O9" s="277">
        <v>61.37</v>
      </c>
      <c r="P9" s="276">
        <v>74.680000000000007</v>
      </c>
      <c r="Q9" s="276"/>
      <c r="R9" s="281"/>
    </row>
    <row r="10" spans="1:21" x14ac:dyDescent="0.25">
      <c r="A10" s="317" t="s">
        <v>131</v>
      </c>
      <c r="B10" s="280" t="s">
        <v>177</v>
      </c>
      <c r="C10" s="361">
        <f t="shared" si="3"/>
        <v>0</v>
      </c>
      <c r="D10" s="273">
        <f t="shared" si="2"/>
        <v>0</v>
      </c>
      <c r="E10" s="274">
        <v>0.17</v>
      </c>
      <c r="F10" s="275">
        <f t="shared" si="4"/>
        <v>0</v>
      </c>
      <c r="G10" s="278"/>
      <c r="H10" s="278"/>
      <c r="I10" s="278"/>
      <c r="J10" s="278"/>
      <c r="K10" s="278"/>
      <c r="L10" s="278"/>
      <c r="M10" s="278"/>
      <c r="N10" s="278"/>
      <c r="O10" s="278"/>
      <c r="P10" s="278"/>
      <c r="Q10" s="278"/>
      <c r="R10" s="282"/>
    </row>
    <row r="11" spans="1:21" x14ac:dyDescent="0.25">
      <c r="A11" s="317" t="s">
        <v>132</v>
      </c>
      <c r="B11" s="280" t="s">
        <v>66</v>
      </c>
      <c r="C11" s="361">
        <f t="shared" si="3"/>
        <v>0</v>
      </c>
      <c r="D11" s="273">
        <f t="shared" si="2"/>
        <v>0</v>
      </c>
      <c r="E11" s="274">
        <v>0.17</v>
      </c>
      <c r="F11" s="275">
        <f t="shared" si="4"/>
        <v>0</v>
      </c>
      <c r="G11" s="278"/>
      <c r="H11" s="278"/>
      <c r="I11" s="278"/>
      <c r="J11" s="278"/>
      <c r="K11" s="278"/>
      <c r="L11" s="278"/>
      <c r="M11" s="279"/>
      <c r="N11" s="278"/>
      <c r="O11" s="278"/>
      <c r="P11" s="278"/>
      <c r="Q11" s="279"/>
      <c r="R11" s="282"/>
    </row>
    <row r="12" spans="1:21" x14ac:dyDescent="0.25">
      <c r="A12" s="317" t="s">
        <v>133</v>
      </c>
      <c r="B12" s="280" t="s">
        <v>67</v>
      </c>
      <c r="C12" s="361">
        <f t="shared" si="3"/>
        <v>0</v>
      </c>
      <c r="D12" s="273">
        <f t="shared" si="2"/>
        <v>0</v>
      </c>
      <c r="E12" s="274">
        <v>0.17</v>
      </c>
      <c r="F12" s="275">
        <f t="shared" si="4"/>
        <v>0</v>
      </c>
      <c r="G12" s="278"/>
      <c r="H12" s="278"/>
      <c r="I12" s="278"/>
      <c r="J12" s="278"/>
      <c r="K12" s="278"/>
      <c r="L12" s="278"/>
      <c r="M12" s="278"/>
      <c r="N12" s="278"/>
      <c r="O12" s="278"/>
      <c r="P12" s="278"/>
      <c r="Q12" s="278"/>
      <c r="R12" s="282"/>
    </row>
    <row r="13" spans="1:21" x14ac:dyDescent="0.25">
      <c r="A13" s="317"/>
      <c r="B13" s="280" t="s">
        <v>68</v>
      </c>
      <c r="C13" s="361">
        <f t="shared" si="3"/>
        <v>0</v>
      </c>
      <c r="D13" s="273">
        <f t="shared" si="2"/>
        <v>0</v>
      </c>
      <c r="E13" s="274">
        <v>0.17</v>
      </c>
      <c r="F13" s="275">
        <f t="shared" si="4"/>
        <v>0</v>
      </c>
      <c r="G13" s="278"/>
      <c r="H13" s="278"/>
      <c r="I13" s="117"/>
      <c r="J13" s="278"/>
      <c r="K13" s="278"/>
      <c r="L13" s="278"/>
      <c r="M13" s="278"/>
      <c r="N13" s="278"/>
      <c r="O13" s="278"/>
      <c r="P13" s="278"/>
      <c r="Q13" s="278"/>
      <c r="R13" s="282"/>
    </row>
    <row r="14" spans="1:21" x14ac:dyDescent="0.25">
      <c r="A14" s="317" t="s">
        <v>151</v>
      </c>
      <c r="B14" s="280" t="s">
        <v>69</v>
      </c>
      <c r="C14" s="361">
        <f t="shared" si="3"/>
        <v>0</v>
      </c>
      <c r="D14" s="273">
        <f t="shared" si="2"/>
        <v>0</v>
      </c>
      <c r="E14" s="274">
        <v>0.5</v>
      </c>
      <c r="F14" s="275">
        <f t="shared" si="4"/>
        <v>0</v>
      </c>
      <c r="G14" s="278"/>
      <c r="H14" s="278"/>
      <c r="I14" s="278"/>
      <c r="J14" s="278"/>
      <c r="K14" s="278"/>
      <c r="L14" s="278"/>
      <c r="M14" s="278"/>
      <c r="N14" s="278"/>
      <c r="O14" s="278"/>
      <c r="P14" s="278"/>
      <c r="Q14" s="278"/>
      <c r="R14" s="282"/>
    </row>
    <row r="15" spans="1:21" x14ac:dyDescent="0.25">
      <c r="A15" s="317"/>
      <c r="B15" s="280" t="s">
        <v>178</v>
      </c>
      <c r="C15" s="361">
        <f t="shared" si="3"/>
        <v>0</v>
      </c>
      <c r="D15" s="273">
        <f t="shared" si="2"/>
        <v>0</v>
      </c>
      <c r="E15" s="274">
        <v>0.5</v>
      </c>
      <c r="F15" s="275">
        <f t="shared" si="4"/>
        <v>0</v>
      </c>
      <c r="G15" s="278"/>
      <c r="H15" s="278"/>
      <c r="I15" s="278"/>
      <c r="J15" s="278"/>
      <c r="K15" s="278"/>
      <c r="L15" s="278"/>
      <c r="M15" s="278"/>
      <c r="N15" s="278"/>
      <c r="O15" s="278"/>
      <c r="P15" s="278"/>
      <c r="Q15" s="278"/>
      <c r="R15" s="282"/>
    </row>
    <row r="16" spans="1:21" x14ac:dyDescent="0.25">
      <c r="A16" s="317"/>
      <c r="B16" s="280" t="s">
        <v>179</v>
      </c>
      <c r="C16" s="361">
        <f t="shared" si="3"/>
        <v>0</v>
      </c>
      <c r="D16" s="273">
        <f t="shared" si="2"/>
        <v>0</v>
      </c>
      <c r="E16" s="274">
        <v>0.5</v>
      </c>
      <c r="F16" s="275">
        <f t="shared" si="4"/>
        <v>0</v>
      </c>
      <c r="G16" s="278"/>
      <c r="H16" s="278"/>
      <c r="I16" s="278"/>
      <c r="J16" s="278"/>
      <c r="K16" s="278"/>
      <c r="L16" s="278"/>
      <c r="M16" s="278"/>
      <c r="N16" s="278"/>
      <c r="O16" s="278"/>
      <c r="P16" s="278"/>
      <c r="Q16" s="278"/>
      <c r="R16" s="282"/>
    </row>
    <row r="17" spans="1:20" x14ac:dyDescent="0.25">
      <c r="A17" s="317" t="s">
        <v>134</v>
      </c>
      <c r="B17" s="280" t="s">
        <v>180</v>
      </c>
      <c r="C17" s="361">
        <f t="shared" si="3"/>
        <v>0</v>
      </c>
      <c r="D17" s="273">
        <f t="shared" si="2"/>
        <v>0</v>
      </c>
      <c r="E17" s="274">
        <v>0.5</v>
      </c>
      <c r="F17" s="275">
        <f t="shared" si="4"/>
        <v>0</v>
      </c>
      <c r="G17" s="278"/>
      <c r="H17" s="278"/>
      <c r="I17" s="278"/>
      <c r="J17" s="278"/>
      <c r="K17" s="278"/>
      <c r="L17" s="278"/>
      <c r="M17" s="278"/>
      <c r="N17" s="278"/>
      <c r="O17" s="278"/>
      <c r="P17" s="278"/>
      <c r="Q17" s="278"/>
      <c r="R17" s="282"/>
    </row>
    <row r="18" spans="1:20" x14ac:dyDescent="0.25">
      <c r="A18" s="317" t="s">
        <v>135</v>
      </c>
      <c r="B18" s="280" t="s">
        <v>181</v>
      </c>
      <c r="C18" s="361">
        <f t="shared" si="3"/>
        <v>0</v>
      </c>
      <c r="D18" s="273">
        <f t="shared" si="2"/>
        <v>0</v>
      </c>
      <c r="E18" s="274">
        <v>0.5</v>
      </c>
      <c r="F18" s="275">
        <f t="shared" si="4"/>
        <v>0</v>
      </c>
      <c r="G18" s="278"/>
      <c r="H18" s="278"/>
      <c r="I18" s="278"/>
      <c r="J18" s="278"/>
      <c r="K18" s="278"/>
      <c r="L18" s="278"/>
      <c r="M18" s="278"/>
      <c r="N18" s="278"/>
      <c r="O18" s="278"/>
      <c r="P18" s="278"/>
      <c r="Q18" s="278"/>
      <c r="R18" s="282"/>
    </row>
    <row r="19" spans="1:20" ht="15.75" thickBot="1" x14ac:dyDescent="0.3">
      <c r="A19" s="317"/>
      <c r="B19" s="320" t="s">
        <v>182</v>
      </c>
      <c r="C19" s="383">
        <f t="shared" si="3"/>
        <v>0</v>
      </c>
      <c r="D19" s="313">
        <f t="shared" si="2"/>
        <v>0</v>
      </c>
      <c r="E19" s="314">
        <v>0.5</v>
      </c>
      <c r="F19" s="315">
        <f t="shared" si="4"/>
        <v>0</v>
      </c>
      <c r="G19" s="316"/>
      <c r="H19" s="316"/>
      <c r="I19" s="316"/>
      <c r="J19" s="316"/>
      <c r="K19" s="316"/>
      <c r="L19" s="316"/>
      <c r="M19" s="316"/>
      <c r="N19" s="316"/>
      <c r="O19" s="316"/>
      <c r="P19" s="316"/>
      <c r="Q19" s="316"/>
      <c r="R19" s="321"/>
    </row>
    <row r="20" spans="1:20" ht="15.75" thickBot="1" x14ac:dyDescent="0.3">
      <c r="B20" s="378" t="s">
        <v>183</v>
      </c>
      <c r="C20" s="379">
        <f>SUM(C21:C26)</f>
        <v>0</v>
      </c>
      <c r="D20" s="380" t="s">
        <v>60</v>
      </c>
      <c r="E20" s="380" t="s">
        <v>61</v>
      </c>
      <c r="F20" s="380" t="s">
        <v>62</v>
      </c>
      <c r="G20" s="381">
        <f>SUM(G21:G26)</f>
        <v>0</v>
      </c>
      <c r="H20" s="381">
        <f t="shared" ref="H20:R20" si="5">SUM(H21:H26)</f>
        <v>0</v>
      </c>
      <c r="I20" s="381">
        <f t="shared" si="5"/>
        <v>0</v>
      </c>
      <c r="J20" s="381">
        <f t="shared" si="5"/>
        <v>0</v>
      </c>
      <c r="K20" s="381">
        <f t="shared" si="5"/>
        <v>0</v>
      </c>
      <c r="L20" s="381">
        <f t="shared" si="5"/>
        <v>0</v>
      </c>
      <c r="M20" s="381">
        <f t="shared" si="5"/>
        <v>0</v>
      </c>
      <c r="N20" s="381">
        <f t="shared" si="5"/>
        <v>0</v>
      </c>
      <c r="O20" s="381">
        <f t="shared" si="5"/>
        <v>0</v>
      </c>
      <c r="P20" s="381">
        <f t="shared" si="5"/>
        <v>0</v>
      </c>
      <c r="Q20" s="381">
        <f t="shared" si="5"/>
        <v>0</v>
      </c>
      <c r="R20" s="381">
        <f t="shared" si="5"/>
        <v>0</v>
      </c>
    </row>
    <row r="21" spans="1:20" x14ac:dyDescent="0.25">
      <c r="B21" s="371" t="s">
        <v>184</v>
      </c>
      <c r="C21" s="372">
        <f>D21</f>
        <v>0</v>
      </c>
      <c r="D21" s="384">
        <f>E21*F21</f>
        <v>0</v>
      </c>
      <c r="E21" s="374">
        <v>0.5</v>
      </c>
      <c r="F21" s="375">
        <f t="shared" ref="F21:F26" si="6">SUM(G21:R21)</f>
        <v>0</v>
      </c>
      <c r="G21" s="385"/>
      <c r="H21" s="385"/>
      <c r="I21" s="385"/>
      <c r="J21" s="385"/>
      <c r="K21" s="385"/>
      <c r="L21" s="385"/>
      <c r="M21" s="385"/>
      <c r="N21" s="385"/>
      <c r="O21" s="385"/>
      <c r="P21" s="385"/>
      <c r="Q21" s="385"/>
      <c r="R21" s="386"/>
    </row>
    <row r="22" spans="1:20" x14ac:dyDescent="0.25">
      <c r="B22" s="280" t="s">
        <v>71</v>
      </c>
      <c r="C22" s="361">
        <f t="shared" ref="C22:C26" si="7">D22</f>
        <v>0</v>
      </c>
      <c r="D22" s="322">
        <f t="shared" ref="D22:D26" si="8">E22*F22</f>
        <v>0</v>
      </c>
      <c r="E22" s="274">
        <v>0.5</v>
      </c>
      <c r="F22" s="275">
        <f t="shared" si="6"/>
        <v>0</v>
      </c>
      <c r="G22" s="278"/>
      <c r="H22" s="278"/>
      <c r="I22" s="278"/>
      <c r="J22" s="278"/>
      <c r="K22" s="278"/>
      <c r="L22" s="278"/>
      <c r="M22" s="278"/>
      <c r="N22" s="278"/>
      <c r="O22" s="278"/>
      <c r="P22" s="278"/>
      <c r="Q22" s="278"/>
      <c r="R22" s="282"/>
    </row>
    <row r="23" spans="1:20" x14ac:dyDescent="0.25">
      <c r="B23" s="280" t="s">
        <v>185</v>
      </c>
      <c r="C23" s="361">
        <f t="shared" si="7"/>
        <v>0</v>
      </c>
      <c r="D23" s="322">
        <f t="shared" si="8"/>
        <v>0</v>
      </c>
      <c r="E23" s="274">
        <v>0.5</v>
      </c>
      <c r="F23" s="275">
        <f t="shared" si="6"/>
        <v>0</v>
      </c>
      <c r="G23" s="278"/>
      <c r="H23" s="278"/>
      <c r="I23" s="278"/>
      <c r="J23" s="278"/>
      <c r="K23" s="278"/>
      <c r="L23" s="278"/>
      <c r="M23" s="278"/>
      <c r="N23" s="278"/>
      <c r="O23" s="278"/>
      <c r="P23" s="278"/>
      <c r="Q23" s="278"/>
      <c r="R23" s="282"/>
    </row>
    <row r="24" spans="1:20" x14ac:dyDescent="0.25">
      <c r="B24" s="280" t="s">
        <v>78</v>
      </c>
      <c r="C24" s="361">
        <f t="shared" si="7"/>
        <v>0</v>
      </c>
      <c r="D24" s="322">
        <f t="shared" si="8"/>
        <v>0</v>
      </c>
      <c r="E24" s="274">
        <v>1</v>
      </c>
      <c r="F24" s="275">
        <f t="shared" si="6"/>
        <v>0</v>
      </c>
      <c r="G24" s="278"/>
      <c r="H24" s="278"/>
      <c r="I24" s="278"/>
      <c r="J24" s="278"/>
      <c r="K24" s="278"/>
      <c r="L24" s="278"/>
      <c r="M24" s="278"/>
      <c r="N24" s="278"/>
      <c r="O24" s="278"/>
      <c r="P24" s="278"/>
      <c r="Q24" s="278"/>
      <c r="R24" s="282"/>
    </row>
    <row r="25" spans="1:20" x14ac:dyDescent="0.25">
      <c r="B25" s="280" t="str">
        <f>'CB-18'!B25</f>
        <v>Stationaries</v>
      </c>
      <c r="C25" s="361">
        <f t="shared" si="7"/>
        <v>0</v>
      </c>
      <c r="D25" s="322">
        <f t="shared" si="8"/>
        <v>0</v>
      </c>
      <c r="E25" s="274">
        <v>1</v>
      </c>
      <c r="F25" s="275">
        <f t="shared" si="6"/>
        <v>0</v>
      </c>
      <c r="G25" s="278"/>
      <c r="H25" s="278"/>
      <c r="I25" s="278"/>
      <c r="J25" s="278"/>
      <c r="K25" s="278"/>
      <c r="L25" s="278"/>
      <c r="M25" s="278"/>
      <c r="N25" s="278"/>
      <c r="O25" s="278"/>
      <c r="P25" s="278"/>
      <c r="Q25" s="278"/>
      <c r="R25" s="282"/>
    </row>
    <row r="26" spans="1:20" ht="15.75" thickBot="1" x14ac:dyDescent="0.3">
      <c r="B26" s="320" t="s">
        <v>186</v>
      </c>
      <c r="C26" s="361">
        <f t="shared" si="7"/>
        <v>0</v>
      </c>
      <c r="D26" s="322">
        <f t="shared" si="8"/>
        <v>0</v>
      </c>
      <c r="E26" s="314">
        <v>1</v>
      </c>
      <c r="F26" s="315">
        <f t="shared" si="6"/>
        <v>0</v>
      </c>
      <c r="G26" s="316"/>
      <c r="H26" s="316"/>
      <c r="I26" s="316"/>
      <c r="J26" s="316"/>
      <c r="K26" s="316"/>
      <c r="L26" s="316"/>
      <c r="M26" s="316"/>
      <c r="N26" s="316"/>
      <c r="O26" s="316"/>
      <c r="P26" s="316"/>
      <c r="Q26" s="316"/>
      <c r="R26" s="321"/>
    </row>
    <row r="27" spans="1:20" ht="15.75" thickBot="1" x14ac:dyDescent="0.3">
      <c r="B27" s="378" t="s">
        <v>187</v>
      </c>
      <c r="C27" s="379">
        <f>SUM(C28:C34)</f>
        <v>0</v>
      </c>
      <c r="D27" s="380" t="s">
        <v>60</v>
      </c>
      <c r="E27" s="380" t="s">
        <v>61</v>
      </c>
      <c r="F27" s="380" t="s">
        <v>62</v>
      </c>
      <c r="G27" s="381">
        <f>SUM(G28:G34)</f>
        <v>0</v>
      </c>
      <c r="H27" s="381">
        <f t="shared" ref="H27:T27" si="9">SUM(H28:H34)</f>
        <v>0</v>
      </c>
      <c r="I27" s="381">
        <f t="shared" si="9"/>
        <v>0</v>
      </c>
      <c r="J27" s="381">
        <f t="shared" si="9"/>
        <v>0</v>
      </c>
      <c r="K27" s="381">
        <f t="shared" si="9"/>
        <v>0</v>
      </c>
      <c r="L27" s="381">
        <f t="shared" si="9"/>
        <v>0</v>
      </c>
      <c r="M27" s="381">
        <f t="shared" si="9"/>
        <v>0</v>
      </c>
      <c r="N27" s="381">
        <f t="shared" si="9"/>
        <v>0</v>
      </c>
      <c r="O27" s="381">
        <f t="shared" si="9"/>
        <v>0</v>
      </c>
      <c r="P27" s="381">
        <f t="shared" si="9"/>
        <v>0</v>
      </c>
      <c r="Q27" s="381">
        <f t="shared" si="9"/>
        <v>0</v>
      </c>
      <c r="R27" s="381">
        <f t="shared" si="9"/>
        <v>0</v>
      </c>
      <c r="S27" s="381">
        <f t="shared" si="9"/>
        <v>0</v>
      </c>
      <c r="T27" s="381">
        <f t="shared" si="9"/>
        <v>0</v>
      </c>
    </row>
    <row r="28" spans="1:20" x14ac:dyDescent="0.25">
      <c r="A28" t="s">
        <v>136</v>
      </c>
      <c r="B28" s="371" t="s">
        <v>72</v>
      </c>
      <c r="C28" s="372">
        <f>D28</f>
        <v>0</v>
      </c>
      <c r="D28" s="384">
        <f>E28*F28</f>
        <v>0</v>
      </c>
      <c r="E28" s="374">
        <v>1</v>
      </c>
      <c r="F28" s="375">
        <f t="shared" si="4"/>
        <v>0</v>
      </c>
      <c r="G28" s="385"/>
      <c r="H28" s="385"/>
      <c r="I28" s="385"/>
      <c r="J28" s="385"/>
      <c r="K28" s="385"/>
      <c r="L28" s="385"/>
      <c r="M28" s="385"/>
      <c r="N28" s="385"/>
      <c r="O28" s="385"/>
      <c r="P28" s="385"/>
      <c r="Q28" s="385"/>
      <c r="R28" s="386"/>
    </row>
    <row r="29" spans="1:20" x14ac:dyDescent="0.25">
      <c r="A29" t="s">
        <v>188</v>
      </c>
      <c r="B29" s="280" t="s">
        <v>189</v>
      </c>
      <c r="C29" s="361">
        <f t="shared" ref="C29:C34" si="10">D29</f>
        <v>0</v>
      </c>
      <c r="D29" s="322">
        <f t="shared" ref="D29:D34" si="11">E29*F29</f>
        <v>0</v>
      </c>
      <c r="E29" s="274">
        <v>1</v>
      </c>
      <c r="F29" s="275">
        <f t="shared" si="4"/>
        <v>0</v>
      </c>
      <c r="G29" s="278"/>
      <c r="H29" s="278"/>
      <c r="I29" s="278"/>
      <c r="J29" s="278"/>
      <c r="K29" s="278"/>
      <c r="L29" s="278"/>
      <c r="M29" s="278"/>
      <c r="N29" s="278"/>
      <c r="O29" s="278"/>
      <c r="P29" s="278"/>
      <c r="Q29" s="278"/>
      <c r="R29" s="282"/>
    </row>
    <row r="30" spans="1:20" x14ac:dyDescent="0.25">
      <c r="B30" s="280" t="s">
        <v>190</v>
      </c>
      <c r="C30" s="361">
        <f t="shared" si="10"/>
        <v>0</v>
      </c>
      <c r="D30" s="322">
        <f t="shared" si="11"/>
        <v>0</v>
      </c>
      <c r="E30" s="274">
        <v>1</v>
      </c>
      <c r="F30" s="275">
        <f t="shared" si="4"/>
        <v>0</v>
      </c>
      <c r="G30" s="278"/>
      <c r="H30" s="278"/>
      <c r="I30" s="278"/>
      <c r="J30" s="278"/>
      <c r="K30" s="278"/>
      <c r="L30" s="278"/>
      <c r="M30" s="278"/>
      <c r="N30" s="278"/>
      <c r="O30" s="278"/>
      <c r="P30" s="278"/>
      <c r="Q30" s="278"/>
      <c r="R30" s="282"/>
    </row>
    <row r="31" spans="1:20" x14ac:dyDescent="0.25">
      <c r="B31" s="280" t="s">
        <v>74</v>
      </c>
      <c r="C31" s="361">
        <f t="shared" si="10"/>
        <v>0</v>
      </c>
      <c r="D31" s="322">
        <f t="shared" si="11"/>
        <v>0</v>
      </c>
      <c r="E31" s="274">
        <v>1</v>
      </c>
      <c r="F31" s="275">
        <f t="shared" si="4"/>
        <v>0</v>
      </c>
      <c r="G31" s="278"/>
      <c r="H31" s="278"/>
      <c r="I31" s="278"/>
      <c r="J31" s="278"/>
      <c r="K31" s="278"/>
      <c r="L31" s="278"/>
      <c r="M31" s="278"/>
      <c r="N31" s="278"/>
      <c r="O31" s="278"/>
      <c r="P31" s="278"/>
      <c r="Q31" s="278"/>
      <c r="R31" s="282"/>
    </row>
    <row r="32" spans="1:20" x14ac:dyDescent="0.25">
      <c r="B32" s="280" t="s">
        <v>75</v>
      </c>
      <c r="C32" s="361">
        <f t="shared" si="10"/>
        <v>0</v>
      </c>
      <c r="D32" s="322">
        <f t="shared" si="11"/>
        <v>0</v>
      </c>
      <c r="E32" s="274">
        <v>1</v>
      </c>
      <c r="F32" s="275">
        <f t="shared" si="4"/>
        <v>0</v>
      </c>
      <c r="G32" s="278"/>
      <c r="H32" s="278"/>
      <c r="I32" s="278"/>
      <c r="J32" s="278"/>
      <c r="K32" s="278"/>
      <c r="L32" s="278"/>
      <c r="M32" s="278"/>
      <c r="N32" s="278"/>
      <c r="O32" s="278"/>
      <c r="P32" s="278"/>
      <c r="Q32" s="278"/>
      <c r="R32" s="282"/>
    </row>
    <row r="33" spans="1:18" x14ac:dyDescent="0.25">
      <c r="B33" s="280" t="s">
        <v>76</v>
      </c>
      <c r="C33" s="361">
        <f t="shared" si="10"/>
        <v>0</v>
      </c>
      <c r="D33" s="322">
        <f t="shared" si="11"/>
        <v>0</v>
      </c>
      <c r="E33" s="274">
        <v>1</v>
      </c>
      <c r="F33" s="275">
        <f t="shared" si="4"/>
        <v>0</v>
      </c>
      <c r="G33" s="278"/>
      <c r="H33" s="278"/>
      <c r="I33" s="278"/>
      <c r="J33" s="278"/>
      <c r="K33" s="278"/>
      <c r="L33" s="278"/>
      <c r="M33" s="278"/>
      <c r="N33" s="278"/>
      <c r="O33" s="278"/>
      <c r="P33" s="278"/>
      <c r="Q33" s="278"/>
      <c r="R33" s="282"/>
    </row>
    <row r="34" spans="1:18" ht="15.75" thickBot="1" x14ac:dyDescent="0.3">
      <c r="B34" s="320" t="s">
        <v>77</v>
      </c>
      <c r="C34" s="361">
        <f t="shared" si="10"/>
        <v>0</v>
      </c>
      <c r="D34" s="322">
        <f t="shared" si="11"/>
        <v>0</v>
      </c>
      <c r="E34" s="314">
        <v>1</v>
      </c>
      <c r="F34" s="275">
        <f t="shared" si="4"/>
        <v>0</v>
      </c>
      <c r="G34" s="316"/>
      <c r="H34" s="316"/>
      <c r="I34" s="316"/>
      <c r="J34" s="316"/>
      <c r="K34" s="316"/>
      <c r="L34" s="316"/>
      <c r="M34" s="316"/>
      <c r="N34" s="316"/>
      <c r="O34" s="316"/>
      <c r="P34" s="316"/>
      <c r="Q34" s="316"/>
      <c r="R34" s="321"/>
    </row>
    <row r="35" spans="1:18" ht="15.75" thickBot="1" x14ac:dyDescent="0.3">
      <c r="B35" s="426" t="s">
        <v>137</v>
      </c>
      <c r="C35" s="427">
        <f>SUM(C36:C44)</f>
        <v>0</v>
      </c>
      <c r="D35" s="400" t="s">
        <v>60</v>
      </c>
      <c r="E35" s="400" t="s">
        <v>61</v>
      </c>
      <c r="F35" s="400" t="s">
        <v>62</v>
      </c>
      <c r="G35" s="381">
        <f>SUM(G36:G44)</f>
        <v>0</v>
      </c>
      <c r="H35" s="381">
        <f t="shared" ref="H35:R35" si="12">SUM(H36:H44)</f>
        <v>0</v>
      </c>
      <c r="I35" s="381">
        <f t="shared" si="12"/>
        <v>0</v>
      </c>
      <c r="J35" s="381">
        <f t="shared" si="12"/>
        <v>0</v>
      </c>
      <c r="K35" s="381">
        <f t="shared" si="12"/>
        <v>0</v>
      </c>
      <c r="L35" s="381">
        <f t="shared" si="12"/>
        <v>0</v>
      </c>
      <c r="M35" s="381">
        <f t="shared" si="12"/>
        <v>0</v>
      </c>
      <c r="N35" s="381">
        <f t="shared" si="12"/>
        <v>0</v>
      </c>
      <c r="O35" s="381">
        <f t="shared" si="12"/>
        <v>0</v>
      </c>
      <c r="P35" s="381">
        <f t="shared" si="12"/>
        <v>0</v>
      </c>
      <c r="Q35" s="381">
        <f t="shared" si="12"/>
        <v>0</v>
      </c>
      <c r="R35" s="381">
        <f t="shared" si="12"/>
        <v>0</v>
      </c>
    </row>
    <row r="36" spans="1:18" x14ac:dyDescent="0.25">
      <c r="B36" s="280" t="s">
        <v>191</v>
      </c>
      <c r="C36" s="460">
        <f>D36</f>
        <v>0</v>
      </c>
      <c r="D36" s="273">
        <f t="shared" ref="D36:D44" si="13">E36*F36</f>
        <v>0</v>
      </c>
      <c r="E36" s="274">
        <v>1</v>
      </c>
      <c r="F36" s="275">
        <f t="shared" si="4"/>
        <v>0</v>
      </c>
      <c r="G36" s="278"/>
      <c r="H36" s="278"/>
      <c r="I36" s="278"/>
      <c r="J36" s="278"/>
      <c r="K36" s="278"/>
      <c r="L36" s="278"/>
      <c r="M36" s="278"/>
      <c r="N36" s="278"/>
      <c r="O36" s="278"/>
      <c r="P36" s="278"/>
      <c r="Q36" s="278"/>
      <c r="R36" s="282"/>
    </row>
    <row r="37" spans="1:18" x14ac:dyDescent="0.25">
      <c r="A37" t="s">
        <v>158</v>
      </c>
      <c r="B37" s="280" t="s">
        <v>192</v>
      </c>
      <c r="C37" s="460">
        <f t="shared" ref="C37:C44" si="14">D37</f>
        <v>0</v>
      </c>
      <c r="D37" s="273">
        <f t="shared" si="13"/>
        <v>0</v>
      </c>
      <c r="E37" s="274">
        <v>1</v>
      </c>
      <c r="F37" s="275">
        <f t="shared" si="4"/>
        <v>0</v>
      </c>
      <c r="G37" s="278"/>
      <c r="H37" s="278"/>
      <c r="I37" s="278"/>
      <c r="J37" s="278"/>
      <c r="K37" s="278"/>
      <c r="L37" s="278"/>
      <c r="M37" s="278"/>
      <c r="N37" s="278"/>
      <c r="O37" s="278"/>
      <c r="P37" s="278"/>
      <c r="Q37" s="278"/>
      <c r="R37" s="282"/>
    </row>
    <row r="38" spans="1:18" x14ac:dyDescent="0.25">
      <c r="B38" s="280" t="s">
        <v>118</v>
      </c>
      <c r="C38" s="460">
        <f t="shared" si="14"/>
        <v>0</v>
      </c>
      <c r="D38" s="273">
        <f t="shared" si="13"/>
        <v>0</v>
      </c>
      <c r="E38" s="274">
        <v>1</v>
      </c>
      <c r="F38" s="275">
        <f t="shared" si="4"/>
        <v>0</v>
      </c>
      <c r="G38" s="278"/>
      <c r="H38" s="278"/>
      <c r="I38" s="278"/>
      <c r="J38" s="278"/>
      <c r="K38" s="278"/>
      <c r="L38" s="278"/>
      <c r="M38" s="278"/>
      <c r="N38" s="278"/>
      <c r="O38" s="278"/>
      <c r="P38" s="278"/>
      <c r="Q38" s="278"/>
      <c r="R38" s="282"/>
    </row>
    <row r="39" spans="1:18" x14ac:dyDescent="0.25">
      <c r="B39" s="280" t="s">
        <v>86</v>
      </c>
      <c r="C39" s="460">
        <f t="shared" si="14"/>
        <v>0</v>
      </c>
      <c r="D39" s="273">
        <f t="shared" si="13"/>
        <v>0</v>
      </c>
      <c r="E39" s="274">
        <v>1</v>
      </c>
      <c r="F39" s="275">
        <f t="shared" si="4"/>
        <v>0</v>
      </c>
      <c r="G39" s="278"/>
      <c r="H39" s="278"/>
      <c r="I39" s="278"/>
      <c r="J39" s="278"/>
      <c r="K39" s="278"/>
      <c r="L39" s="278"/>
      <c r="M39" s="278"/>
      <c r="N39" s="278"/>
      <c r="O39" s="278"/>
      <c r="P39" s="278"/>
      <c r="Q39" s="278"/>
      <c r="R39" s="282"/>
    </row>
    <row r="40" spans="1:18" x14ac:dyDescent="0.25">
      <c r="B40" s="280" t="s">
        <v>88</v>
      </c>
      <c r="C40" s="460">
        <f t="shared" si="14"/>
        <v>0</v>
      </c>
      <c r="D40" s="273">
        <f t="shared" si="13"/>
        <v>0</v>
      </c>
      <c r="E40" s="274">
        <v>1</v>
      </c>
      <c r="F40" s="275">
        <f t="shared" si="4"/>
        <v>0</v>
      </c>
      <c r="G40" s="117"/>
      <c r="H40" s="278"/>
      <c r="I40" s="278"/>
      <c r="J40" s="278"/>
      <c r="K40" s="278"/>
      <c r="L40" s="278"/>
      <c r="M40" s="278"/>
      <c r="N40" s="278"/>
      <c r="O40" s="278"/>
      <c r="P40" s="278"/>
      <c r="Q40" s="278"/>
      <c r="R40" s="282"/>
    </row>
    <row r="41" spans="1:18" x14ac:dyDescent="0.25">
      <c r="B41" s="280" t="s">
        <v>90</v>
      </c>
      <c r="C41" s="460">
        <f t="shared" si="14"/>
        <v>0</v>
      </c>
      <c r="D41" s="273">
        <f t="shared" si="13"/>
        <v>0</v>
      </c>
      <c r="E41" s="274">
        <v>1</v>
      </c>
      <c r="F41" s="275">
        <f t="shared" si="4"/>
        <v>0</v>
      </c>
      <c r="G41" s="278"/>
      <c r="H41" s="278"/>
      <c r="I41" s="278"/>
      <c r="J41" s="278"/>
      <c r="K41" s="278"/>
      <c r="L41" s="278"/>
      <c r="M41" s="278"/>
      <c r="N41" s="278"/>
      <c r="O41" s="278"/>
      <c r="P41" s="278"/>
      <c r="Q41" s="278"/>
      <c r="R41" s="282"/>
    </row>
    <row r="42" spans="1:18" x14ac:dyDescent="0.25">
      <c r="B42" s="280" t="s">
        <v>91</v>
      </c>
      <c r="C42" s="460">
        <f t="shared" si="14"/>
        <v>0</v>
      </c>
      <c r="D42" s="273">
        <f t="shared" si="13"/>
        <v>0</v>
      </c>
      <c r="E42" s="274">
        <v>1</v>
      </c>
      <c r="F42" s="275">
        <f t="shared" si="4"/>
        <v>0</v>
      </c>
      <c r="G42" s="278"/>
      <c r="H42" s="278"/>
      <c r="I42" s="278"/>
      <c r="J42" s="278"/>
      <c r="K42" s="278"/>
      <c r="L42" s="278"/>
      <c r="M42" s="278"/>
      <c r="N42" s="278"/>
      <c r="O42" s="278"/>
      <c r="P42" s="278"/>
      <c r="Q42" s="278"/>
      <c r="R42" s="282"/>
    </row>
    <row r="43" spans="1:18" x14ac:dyDescent="0.25">
      <c r="B43" s="280" t="s">
        <v>119</v>
      </c>
      <c r="C43" s="460">
        <f t="shared" si="14"/>
        <v>0</v>
      </c>
      <c r="D43" s="273">
        <f t="shared" si="13"/>
        <v>0</v>
      </c>
      <c r="E43" s="274">
        <v>1</v>
      </c>
      <c r="F43" s="275">
        <f t="shared" si="4"/>
        <v>0</v>
      </c>
      <c r="G43" s="278"/>
      <c r="H43" s="278"/>
      <c r="I43" s="278"/>
      <c r="J43" s="278"/>
      <c r="K43" s="278"/>
      <c r="L43" s="278"/>
      <c r="M43" s="278"/>
      <c r="N43" s="278"/>
      <c r="O43" s="278"/>
      <c r="P43" s="278"/>
      <c r="Q43" s="278"/>
      <c r="R43" s="282"/>
    </row>
    <row r="44" spans="1:18" ht="15.75" thickBot="1" x14ac:dyDescent="0.3">
      <c r="B44" s="280" t="s">
        <v>120</v>
      </c>
      <c r="C44" s="460">
        <f t="shared" si="14"/>
        <v>0</v>
      </c>
      <c r="D44" s="273">
        <f t="shared" si="13"/>
        <v>0</v>
      </c>
      <c r="E44" s="274">
        <v>1</v>
      </c>
      <c r="F44" s="275">
        <f t="shared" si="4"/>
        <v>0</v>
      </c>
      <c r="G44" s="278"/>
      <c r="H44" s="278"/>
      <c r="I44" s="278"/>
      <c r="J44" s="278"/>
      <c r="K44" s="278"/>
      <c r="L44" s="278"/>
      <c r="M44" s="278"/>
      <c r="N44" s="278"/>
      <c r="O44" s="278"/>
      <c r="P44" s="278"/>
      <c r="Q44" s="278"/>
      <c r="R44" s="282"/>
    </row>
    <row r="45" spans="1:18" ht="15.75" thickBot="1" x14ac:dyDescent="0.3">
      <c r="B45" s="428" t="s">
        <v>114</v>
      </c>
      <c r="C45" s="429">
        <f>SUM(C46:C58)</f>
        <v>0</v>
      </c>
      <c r="D45" s="401" t="s">
        <v>60</v>
      </c>
      <c r="E45" s="401" t="s">
        <v>61</v>
      </c>
      <c r="F45" s="401" t="s">
        <v>62</v>
      </c>
      <c r="G45" s="381">
        <f>SUM(G46:G58)</f>
        <v>0</v>
      </c>
      <c r="H45" s="381">
        <f t="shared" ref="H45:R45" si="15">SUM(H46:H58)</f>
        <v>0</v>
      </c>
      <c r="I45" s="381">
        <f t="shared" si="15"/>
        <v>0</v>
      </c>
      <c r="J45" s="381">
        <f t="shared" si="15"/>
        <v>0</v>
      </c>
      <c r="K45" s="381">
        <f t="shared" si="15"/>
        <v>0</v>
      </c>
      <c r="L45" s="381">
        <f t="shared" si="15"/>
        <v>0</v>
      </c>
      <c r="M45" s="381">
        <f t="shared" si="15"/>
        <v>0</v>
      </c>
      <c r="N45" s="381">
        <f t="shared" si="15"/>
        <v>0</v>
      </c>
      <c r="O45" s="381">
        <f t="shared" si="15"/>
        <v>0</v>
      </c>
      <c r="P45" s="381">
        <f t="shared" si="15"/>
        <v>0</v>
      </c>
      <c r="Q45" s="381">
        <f t="shared" si="15"/>
        <v>0</v>
      </c>
      <c r="R45" s="381">
        <f t="shared" si="15"/>
        <v>0</v>
      </c>
    </row>
    <row r="46" spans="1:18" x14ac:dyDescent="0.25">
      <c r="B46" s="495" t="s">
        <v>121</v>
      </c>
      <c r="C46" s="394">
        <f>D46</f>
        <v>0</v>
      </c>
      <c r="D46" s="395">
        <f>E46*F46</f>
        <v>0</v>
      </c>
      <c r="E46" s="374">
        <v>0.5</v>
      </c>
      <c r="F46" s="47">
        <f t="shared" ref="F46:F58" si="16">SUM(G46:R46)</f>
        <v>0</v>
      </c>
      <c r="G46" s="396"/>
      <c r="H46" s="396"/>
      <c r="I46" s="396"/>
      <c r="J46" s="396"/>
      <c r="K46" s="396"/>
      <c r="L46" s="396"/>
      <c r="M46" s="396"/>
      <c r="N46" s="396"/>
      <c r="O46" s="396"/>
      <c r="P46" s="396"/>
      <c r="Q46" s="396"/>
      <c r="R46" s="496"/>
    </row>
    <row r="47" spans="1:18" x14ac:dyDescent="0.25">
      <c r="B47" s="497" t="s">
        <v>122</v>
      </c>
      <c r="C47" s="364">
        <f t="shared" ref="C47:C58" si="17">D47</f>
        <v>0</v>
      </c>
      <c r="D47" s="237">
        <f t="shared" ref="D47:D58" si="18">E47*F47</f>
        <v>0</v>
      </c>
      <c r="E47" s="274">
        <v>1</v>
      </c>
      <c r="F47" s="47">
        <f t="shared" si="16"/>
        <v>0</v>
      </c>
      <c r="G47" s="239"/>
      <c r="H47" s="239"/>
      <c r="I47" s="239"/>
      <c r="J47" s="239"/>
      <c r="K47" s="239"/>
      <c r="L47" s="239"/>
      <c r="M47" s="239"/>
      <c r="N47" s="239"/>
      <c r="O47" s="239"/>
      <c r="P47" s="239"/>
      <c r="Q47" s="239"/>
      <c r="R47" s="498"/>
    </row>
    <row r="48" spans="1:18" x14ac:dyDescent="0.25">
      <c r="B48" s="497" t="s">
        <v>123</v>
      </c>
      <c r="C48" s="364">
        <f t="shared" si="17"/>
        <v>0</v>
      </c>
      <c r="D48" s="237">
        <f t="shared" si="18"/>
        <v>0</v>
      </c>
      <c r="E48" s="274">
        <v>0.5</v>
      </c>
      <c r="F48" s="47">
        <f t="shared" si="16"/>
        <v>0</v>
      </c>
      <c r="G48" s="239"/>
      <c r="H48" s="239"/>
      <c r="I48" s="239"/>
      <c r="J48" s="239"/>
      <c r="K48" s="239"/>
      <c r="L48" s="239"/>
      <c r="M48" s="239"/>
      <c r="N48" s="239"/>
      <c r="O48" s="239"/>
      <c r="P48" s="239"/>
      <c r="Q48" s="239"/>
      <c r="R48" s="498"/>
    </row>
    <row r="49" spans="2:18" x14ac:dyDescent="0.25">
      <c r="B49" s="497" t="s">
        <v>102</v>
      </c>
      <c r="C49" s="364">
        <f t="shared" si="17"/>
        <v>0</v>
      </c>
      <c r="D49" s="237">
        <f t="shared" si="18"/>
        <v>0</v>
      </c>
      <c r="E49" s="274">
        <v>1</v>
      </c>
      <c r="F49" s="47">
        <f t="shared" si="16"/>
        <v>0</v>
      </c>
      <c r="G49" s="238"/>
      <c r="H49" s="238"/>
      <c r="I49" s="238"/>
      <c r="J49" s="238"/>
      <c r="K49" s="238"/>
      <c r="L49" s="238"/>
      <c r="M49" s="238"/>
      <c r="N49" s="238"/>
      <c r="O49" s="238"/>
      <c r="P49" s="238"/>
      <c r="Q49" s="238"/>
      <c r="R49" s="499"/>
    </row>
    <row r="50" spans="2:18" x14ac:dyDescent="0.25">
      <c r="B50" s="497" t="s">
        <v>103</v>
      </c>
      <c r="C50" s="364">
        <f t="shared" si="17"/>
        <v>0</v>
      </c>
      <c r="D50" s="237">
        <f t="shared" si="18"/>
        <v>0</v>
      </c>
      <c r="E50" s="274">
        <v>1</v>
      </c>
      <c r="F50" s="47">
        <f t="shared" si="16"/>
        <v>0</v>
      </c>
      <c r="G50" s="238"/>
      <c r="H50" s="238"/>
      <c r="I50" s="238"/>
      <c r="J50" s="238"/>
      <c r="K50" s="238"/>
      <c r="L50" s="238"/>
      <c r="M50" s="238"/>
      <c r="N50" s="238"/>
      <c r="O50" s="238"/>
      <c r="P50" s="238"/>
      <c r="Q50" s="238"/>
      <c r="R50" s="499"/>
    </row>
    <row r="51" spans="2:18" x14ac:dyDescent="0.25">
      <c r="B51" s="497" t="s">
        <v>104</v>
      </c>
      <c r="C51" s="364">
        <f t="shared" si="17"/>
        <v>0</v>
      </c>
      <c r="D51" s="237">
        <f t="shared" si="18"/>
        <v>0</v>
      </c>
      <c r="E51" s="274">
        <v>1</v>
      </c>
      <c r="F51" s="47">
        <f t="shared" si="16"/>
        <v>0</v>
      </c>
      <c r="G51" s="238"/>
      <c r="H51" s="238"/>
      <c r="I51" s="238"/>
      <c r="J51" s="238"/>
      <c r="K51" s="238"/>
      <c r="L51" s="238"/>
      <c r="M51" s="238"/>
      <c r="N51" s="238"/>
      <c r="O51" s="238"/>
      <c r="P51" s="238"/>
      <c r="Q51" s="238"/>
      <c r="R51" s="499"/>
    </row>
    <row r="52" spans="2:18" x14ac:dyDescent="0.25">
      <c r="B52" s="497" t="s">
        <v>105</v>
      </c>
      <c r="C52" s="364">
        <f t="shared" si="17"/>
        <v>0</v>
      </c>
      <c r="D52" s="237">
        <f t="shared" si="18"/>
        <v>0</v>
      </c>
      <c r="E52" s="274">
        <v>1</v>
      </c>
      <c r="F52" s="47">
        <f t="shared" si="16"/>
        <v>0</v>
      </c>
      <c r="G52" s="238"/>
      <c r="H52" s="238"/>
      <c r="I52" s="238"/>
      <c r="J52" s="238"/>
      <c r="K52" s="238"/>
      <c r="L52" s="238"/>
      <c r="M52" s="238"/>
      <c r="N52" s="238"/>
      <c r="O52" s="238"/>
      <c r="P52" s="238"/>
      <c r="Q52" s="238"/>
      <c r="R52" s="499"/>
    </row>
    <row r="53" spans="2:18" x14ac:dyDescent="0.25">
      <c r="B53" s="497" t="s">
        <v>106</v>
      </c>
      <c r="C53" s="364">
        <f t="shared" si="17"/>
        <v>0</v>
      </c>
      <c r="D53" s="237">
        <f t="shared" si="18"/>
        <v>0</v>
      </c>
      <c r="E53" s="274">
        <v>1</v>
      </c>
      <c r="F53" s="47">
        <f t="shared" si="16"/>
        <v>0</v>
      </c>
      <c r="G53" s="238"/>
      <c r="H53" s="238"/>
      <c r="I53" s="238"/>
      <c r="J53" s="238"/>
      <c r="K53" s="238"/>
      <c r="L53" s="238"/>
      <c r="M53" s="238"/>
      <c r="N53" s="238"/>
      <c r="O53" s="238"/>
      <c r="P53" s="238"/>
      <c r="Q53" s="238"/>
      <c r="R53" s="499"/>
    </row>
    <row r="54" spans="2:18" x14ac:dyDescent="0.25">
      <c r="B54" s="497" t="s">
        <v>107</v>
      </c>
      <c r="C54" s="364">
        <f t="shared" si="17"/>
        <v>0</v>
      </c>
      <c r="D54" s="237">
        <f t="shared" si="18"/>
        <v>0</v>
      </c>
      <c r="E54" s="274">
        <v>1</v>
      </c>
      <c r="F54" s="47">
        <f t="shared" si="16"/>
        <v>0</v>
      </c>
      <c r="G54" s="238"/>
      <c r="H54" s="238"/>
      <c r="I54" s="238"/>
      <c r="J54" s="238"/>
      <c r="K54" s="238"/>
      <c r="L54" s="238"/>
      <c r="M54" s="238"/>
      <c r="N54" s="238"/>
      <c r="O54" s="238"/>
      <c r="P54" s="238"/>
      <c r="Q54" s="238"/>
      <c r="R54" s="499"/>
    </row>
    <row r="55" spans="2:18" x14ac:dyDescent="0.25">
      <c r="B55" s="497" t="s">
        <v>108</v>
      </c>
      <c r="C55" s="364">
        <f t="shared" si="17"/>
        <v>0</v>
      </c>
      <c r="D55" s="237">
        <f t="shared" si="18"/>
        <v>0</v>
      </c>
      <c r="E55" s="274">
        <v>1</v>
      </c>
      <c r="F55" s="47">
        <f t="shared" si="16"/>
        <v>0</v>
      </c>
      <c r="G55" s="238"/>
      <c r="H55" s="238"/>
      <c r="I55" s="238"/>
      <c r="J55" s="238"/>
      <c r="K55" s="238"/>
      <c r="L55" s="238"/>
      <c r="M55" s="238"/>
      <c r="N55" s="238"/>
      <c r="O55" s="238"/>
      <c r="P55" s="238"/>
      <c r="Q55" s="238"/>
      <c r="R55" s="499"/>
    </row>
    <row r="56" spans="2:18" x14ac:dyDescent="0.25">
      <c r="B56" s="500" t="s">
        <v>110</v>
      </c>
      <c r="C56" s="364">
        <f t="shared" si="17"/>
        <v>0</v>
      </c>
      <c r="D56" s="237">
        <f t="shared" si="18"/>
        <v>0</v>
      </c>
      <c r="E56" s="274">
        <v>1</v>
      </c>
      <c r="F56" s="47">
        <f t="shared" si="16"/>
        <v>0</v>
      </c>
      <c r="G56" s="238"/>
      <c r="H56" s="238"/>
      <c r="I56" s="238"/>
      <c r="J56" s="238"/>
      <c r="K56" s="238"/>
      <c r="L56" s="238"/>
      <c r="M56" s="238"/>
      <c r="N56" s="238"/>
      <c r="O56" s="238"/>
      <c r="P56" s="238"/>
      <c r="Q56" s="238"/>
      <c r="R56" s="499"/>
    </row>
    <row r="57" spans="2:18" x14ac:dyDescent="0.25">
      <c r="B57" s="500" t="s">
        <v>124</v>
      </c>
      <c r="C57" s="364">
        <f t="shared" si="17"/>
        <v>0</v>
      </c>
      <c r="D57" s="237">
        <f t="shared" si="18"/>
        <v>0</v>
      </c>
      <c r="E57" s="274">
        <v>1</v>
      </c>
      <c r="F57" s="47">
        <f t="shared" si="16"/>
        <v>0</v>
      </c>
      <c r="G57" s="238"/>
      <c r="H57" s="238"/>
      <c r="I57" s="238"/>
      <c r="J57" s="238"/>
      <c r="K57" s="238"/>
      <c r="L57" s="238"/>
      <c r="M57" s="238"/>
      <c r="N57" s="238"/>
      <c r="O57" s="238"/>
      <c r="P57" s="238"/>
      <c r="Q57" s="238"/>
      <c r="R57" s="499"/>
    </row>
    <row r="58" spans="2:18" ht="15.75" thickBot="1" x14ac:dyDescent="0.3">
      <c r="B58" s="497" t="s">
        <v>125</v>
      </c>
      <c r="C58" s="364">
        <f t="shared" si="17"/>
        <v>0</v>
      </c>
      <c r="D58" s="237">
        <f t="shared" si="18"/>
        <v>0</v>
      </c>
      <c r="E58" s="274">
        <v>1</v>
      </c>
      <c r="F58" s="47">
        <f t="shared" si="16"/>
        <v>0</v>
      </c>
      <c r="G58" s="238"/>
      <c r="H58" s="238"/>
      <c r="I58" s="238"/>
      <c r="J58" s="238"/>
      <c r="K58" s="238"/>
      <c r="L58" s="238"/>
      <c r="M58" s="238"/>
      <c r="N58" s="238"/>
      <c r="O58" s="238"/>
      <c r="P58" s="238"/>
      <c r="Q58" s="238"/>
      <c r="R58" s="499"/>
    </row>
    <row r="59" spans="2:18" ht="15.75" thickBot="1" x14ac:dyDescent="0.3">
      <c r="B59" s="390" t="s">
        <v>126</v>
      </c>
      <c r="C59" s="391">
        <f>C60</f>
        <v>672.00000000000011</v>
      </c>
      <c r="D59" s="380" t="s">
        <v>60</v>
      </c>
      <c r="E59" s="380" t="s">
        <v>61</v>
      </c>
      <c r="F59" s="380" t="s">
        <v>62</v>
      </c>
      <c r="G59" s="392"/>
      <c r="H59" s="392"/>
      <c r="I59" s="392"/>
      <c r="J59" s="392"/>
      <c r="K59" s="392"/>
      <c r="L59" s="392"/>
      <c r="M59" s="392"/>
      <c r="N59" s="392"/>
      <c r="O59" s="392"/>
      <c r="P59" s="392"/>
      <c r="Q59" s="392"/>
      <c r="R59" s="393"/>
    </row>
    <row r="60" spans="2:18" x14ac:dyDescent="0.25">
      <c r="B60" s="22" t="str">
        <f>B1&amp;" IRS rate:"</f>
        <v>2017 IRS rate:</v>
      </c>
      <c r="C60" s="362">
        <f>D60</f>
        <v>672.00000000000011</v>
      </c>
      <c r="D60" s="25">
        <f>E60*F60</f>
        <v>672.00000000000011</v>
      </c>
      <c r="E60" s="501">
        <v>0.56000000000000005</v>
      </c>
      <c r="F60" s="350">
        <f>SUM(G60:R60)</f>
        <v>1200</v>
      </c>
      <c r="G60" s="502">
        <v>100</v>
      </c>
      <c r="H60" s="502">
        <v>100</v>
      </c>
      <c r="I60" s="502">
        <v>100</v>
      </c>
      <c r="J60" s="502">
        <v>100</v>
      </c>
      <c r="K60" s="502">
        <v>100</v>
      </c>
      <c r="L60" s="502">
        <v>100</v>
      </c>
      <c r="M60" s="502">
        <v>100</v>
      </c>
      <c r="N60" s="502">
        <v>100</v>
      </c>
      <c r="O60" s="502">
        <v>100</v>
      </c>
      <c r="P60" s="502">
        <v>100</v>
      </c>
      <c r="Q60" s="502">
        <v>100</v>
      </c>
      <c r="R60" s="503">
        <v>100</v>
      </c>
    </row>
    <row r="61" spans="2:18" ht="15.75" thickBot="1" x14ac:dyDescent="0.3">
      <c r="B61" s="504" t="s">
        <v>193</v>
      </c>
      <c r="C61" s="397"/>
      <c r="D61" s="351"/>
      <c r="E61" s="351"/>
      <c r="F61" s="351"/>
      <c r="G61" s="351"/>
      <c r="H61" s="351"/>
      <c r="I61" s="351"/>
      <c r="J61" s="351"/>
      <c r="K61" s="351"/>
      <c r="L61" s="351"/>
      <c r="M61" s="351"/>
      <c r="N61" s="351"/>
      <c r="O61" s="351"/>
      <c r="P61" s="351"/>
      <c r="Q61" s="351"/>
      <c r="R61" s="505"/>
    </row>
    <row r="62" spans="2:18" ht="15.75" thickBot="1" x14ac:dyDescent="0.3">
      <c r="B62" s="390" t="s">
        <v>194</v>
      </c>
      <c r="C62" s="391">
        <f>SUM(C63:C66)</f>
        <v>0</v>
      </c>
      <c r="D62" s="380" t="s">
        <v>60</v>
      </c>
      <c r="E62" s="380" t="s">
        <v>61</v>
      </c>
      <c r="F62" s="380" t="s">
        <v>62</v>
      </c>
      <c r="G62" s="381">
        <f>SUM(G63:G66)</f>
        <v>0</v>
      </c>
      <c r="H62" s="381">
        <f t="shared" ref="H62:R62" si="19">SUM(H63:H66)</f>
        <v>0</v>
      </c>
      <c r="I62" s="381">
        <f t="shared" si="19"/>
        <v>0</v>
      </c>
      <c r="J62" s="381">
        <f t="shared" si="19"/>
        <v>0</v>
      </c>
      <c r="K62" s="381">
        <f t="shared" si="19"/>
        <v>0</v>
      </c>
      <c r="L62" s="381">
        <f t="shared" si="19"/>
        <v>0</v>
      </c>
      <c r="M62" s="381">
        <f t="shared" si="19"/>
        <v>0</v>
      </c>
      <c r="N62" s="381">
        <f t="shared" si="19"/>
        <v>0</v>
      </c>
      <c r="O62" s="381">
        <f t="shared" si="19"/>
        <v>0</v>
      </c>
      <c r="P62" s="381">
        <f t="shared" si="19"/>
        <v>0</v>
      </c>
      <c r="Q62" s="381">
        <f t="shared" si="19"/>
        <v>0</v>
      </c>
      <c r="R62" s="381">
        <f t="shared" si="19"/>
        <v>0</v>
      </c>
    </row>
    <row r="63" spans="2:18" x14ac:dyDescent="0.25">
      <c r="B63" s="497" t="s">
        <v>93</v>
      </c>
      <c r="C63" s="364">
        <f>D63</f>
        <v>0</v>
      </c>
      <c r="D63" s="237">
        <f>E63*F63</f>
        <v>0</v>
      </c>
      <c r="E63" s="274">
        <v>1</v>
      </c>
      <c r="F63" s="47">
        <f t="shared" ref="F63:F65" si="20">SUM(G63:R63)</f>
        <v>0</v>
      </c>
      <c r="G63" s="398"/>
      <c r="H63" s="398"/>
      <c r="I63" s="398"/>
      <c r="J63" s="398"/>
      <c r="K63" s="398"/>
      <c r="L63" s="398"/>
      <c r="M63" s="398"/>
      <c r="N63" s="398"/>
      <c r="O63" s="398"/>
      <c r="P63" s="398"/>
      <c r="Q63" s="398"/>
      <c r="R63" s="506"/>
    </row>
    <row r="64" spans="2:18" x14ac:dyDescent="0.25">
      <c r="B64" s="497" t="s">
        <v>95</v>
      </c>
      <c r="C64" s="364">
        <f>D64</f>
        <v>0</v>
      </c>
      <c r="D64" s="237">
        <f>E64*F64</f>
        <v>0</v>
      </c>
      <c r="E64" s="274">
        <v>1</v>
      </c>
      <c r="F64" s="47">
        <f t="shared" si="20"/>
        <v>0</v>
      </c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312"/>
    </row>
    <row r="65" spans="2:18" x14ac:dyDescent="0.25">
      <c r="B65" s="497" t="s">
        <v>97</v>
      </c>
      <c r="C65" s="364">
        <f>D65</f>
        <v>0</v>
      </c>
      <c r="D65" s="237">
        <f>E65*F65</f>
        <v>0</v>
      </c>
      <c r="E65" s="274">
        <v>1</v>
      </c>
      <c r="F65" s="47">
        <f t="shared" si="20"/>
        <v>0</v>
      </c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312"/>
    </row>
    <row r="66" spans="2:18" ht="15.75" thickBot="1" x14ac:dyDescent="0.3">
      <c r="B66" s="280" t="s">
        <v>99</v>
      </c>
      <c r="C66" s="364">
        <f>D66</f>
        <v>0</v>
      </c>
      <c r="D66" s="237">
        <f>E66*F66</f>
        <v>0</v>
      </c>
      <c r="E66" s="314">
        <v>1</v>
      </c>
      <c r="F66" s="47">
        <f t="shared" ref="F66" si="21">SUM(G66:R66)</f>
        <v>0</v>
      </c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324"/>
    </row>
    <row r="67" spans="2:18" ht="15.75" thickBot="1" x14ac:dyDescent="0.3">
      <c r="B67" s="390" t="s">
        <v>195</v>
      </c>
      <c r="C67" s="391">
        <f>SUM(C68:C70)</f>
        <v>0</v>
      </c>
      <c r="D67" s="380" t="s">
        <v>60</v>
      </c>
      <c r="E67" s="380" t="s">
        <v>61</v>
      </c>
      <c r="F67" s="380" t="s">
        <v>62</v>
      </c>
      <c r="G67" s="381">
        <f>SUM(G68:G70)</f>
        <v>0</v>
      </c>
      <c r="H67" s="381">
        <f t="shared" ref="H67:R67" si="22">SUM(H68:H70)</f>
        <v>0</v>
      </c>
      <c r="I67" s="381">
        <f t="shared" si="22"/>
        <v>0</v>
      </c>
      <c r="J67" s="381">
        <f t="shared" si="22"/>
        <v>0</v>
      </c>
      <c r="K67" s="381">
        <f t="shared" si="22"/>
        <v>0</v>
      </c>
      <c r="L67" s="381">
        <f t="shared" si="22"/>
        <v>0</v>
      </c>
      <c r="M67" s="381">
        <f t="shared" si="22"/>
        <v>0</v>
      </c>
      <c r="N67" s="381">
        <f t="shared" si="22"/>
        <v>0</v>
      </c>
      <c r="O67" s="381">
        <f t="shared" si="22"/>
        <v>0</v>
      </c>
      <c r="P67" s="381">
        <f t="shared" si="22"/>
        <v>0</v>
      </c>
      <c r="Q67" s="381">
        <f t="shared" si="22"/>
        <v>0</v>
      </c>
      <c r="R67" s="381">
        <f t="shared" si="22"/>
        <v>0</v>
      </c>
    </row>
    <row r="68" spans="2:18" x14ac:dyDescent="0.25">
      <c r="B68" s="507" t="s">
        <v>160</v>
      </c>
      <c r="C68" s="364">
        <f>D68</f>
        <v>0</v>
      </c>
      <c r="D68" s="237">
        <f>E68*F68</f>
        <v>0</v>
      </c>
      <c r="E68" s="374">
        <v>1</v>
      </c>
      <c r="F68" s="47">
        <f t="shared" ref="F68:F75" si="23">SUM(G68:R68)</f>
        <v>0</v>
      </c>
      <c r="G68" s="398"/>
      <c r="H68" s="398"/>
      <c r="I68" s="398"/>
      <c r="J68" s="398"/>
      <c r="K68" s="398"/>
      <c r="L68" s="398"/>
      <c r="M68" s="398"/>
      <c r="N68" s="398"/>
      <c r="O68" s="398"/>
      <c r="P68" s="398"/>
      <c r="Q68" s="398"/>
      <c r="R68" s="506"/>
    </row>
    <row r="69" spans="2:18" x14ac:dyDescent="0.25">
      <c r="B69" s="311" t="s">
        <v>161</v>
      </c>
      <c r="C69" s="364">
        <f t="shared" ref="C69:C75" si="24">D69</f>
        <v>0</v>
      </c>
      <c r="D69" s="237">
        <f t="shared" ref="D69:D75" si="25">E69*F69</f>
        <v>0</v>
      </c>
      <c r="E69" s="274">
        <v>1</v>
      </c>
      <c r="F69" s="47">
        <f t="shared" si="23"/>
        <v>0</v>
      </c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312"/>
    </row>
    <row r="70" spans="2:18" ht="15.75" thickBot="1" x14ac:dyDescent="0.3">
      <c r="B70" s="326" t="s">
        <v>162</v>
      </c>
      <c r="C70" s="364">
        <f t="shared" si="24"/>
        <v>0</v>
      </c>
      <c r="D70" s="237">
        <f t="shared" si="25"/>
        <v>0</v>
      </c>
      <c r="E70" s="314">
        <v>1</v>
      </c>
      <c r="F70" s="47">
        <f t="shared" si="23"/>
        <v>0</v>
      </c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324"/>
    </row>
    <row r="71" spans="2:18" ht="15.75" thickBot="1" x14ac:dyDescent="0.3">
      <c r="B71" s="390" t="s">
        <v>196</v>
      </c>
      <c r="C71" s="391">
        <f>SUM(C72:C75)</f>
        <v>0</v>
      </c>
      <c r="D71" s="380" t="s">
        <v>60</v>
      </c>
      <c r="E71" s="380" t="s">
        <v>61</v>
      </c>
      <c r="F71" s="380" t="s">
        <v>62</v>
      </c>
      <c r="G71" s="381">
        <f>SUM(G72:G75)</f>
        <v>0</v>
      </c>
      <c r="H71" s="381">
        <f t="shared" ref="H71:R71" si="26">SUM(H72:H75)</f>
        <v>0</v>
      </c>
      <c r="I71" s="381">
        <f t="shared" si="26"/>
        <v>0</v>
      </c>
      <c r="J71" s="381">
        <f t="shared" si="26"/>
        <v>0</v>
      </c>
      <c r="K71" s="381">
        <f t="shared" si="26"/>
        <v>0</v>
      </c>
      <c r="L71" s="381">
        <f t="shared" si="26"/>
        <v>0</v>
      </c>
      <c r="M71" s="381">
        <f t="shared" si="26"/>
        <v>0</v>
      </c>
      <c r="N71" s="381">
        <f t="shared" si="26"/>
        <v>0</v>
      </c>
      <c r="O71" s="381">
        <f t="shared" si="26"/>
        <v>0</v>
      </c>
      <c r="P71" s="381">
        <f t="shared" si="26"/>
        <v>0</v>
      </c>
      <c r="Q71" s="381">
        <f t="shared" si="26"/>
        <v>0</v>
      </c>
      <c r="R71" s="381">
        <f t="shared" si="26"/>
        <v>0</v>
      </c>
    </row>
    <row r="72" spans="2:18" x14ac:dyDescent="0.25">
      <c r="B72" s="507" t="s">
        <v>163</v>
      </c>
      <c r="C72" s="364">
        <f t="shared" si="24"/>
        <v>0</v>
      </c>
      <c r="D72" s="237">
        <f t="shared" si="25"/>
        <v>0</v>
      </c>
      <c r="E72" s="374">
        <v>1</v>
      </c>
      <c r="F72" s="47">
        <f t="shared" si="23"/>
        <v>0</v>
      </c>
      <c r="G72" s="398"/>
      <c r="H72" s="398"/>
      <c r="I72" s="398"/>
      <c r="J72" s="398"/>
      <c r="K72" s="398"/>
      <c r="L72" s="398"/>
      <c r="M72" s="398"/>
      <c r="N72" s="398"/>
      <c r="O72" s="398"/>
      <c r="P72" s="398"/>
      <c r="Q72" s="398"/>
      <c r="R72" s="506"/>
    </row>
    <row r="73" spans="2:18" x14ac:dyDescent="0.25">
      <c r="B73" s="311" t="s">
        <v>164</v>
      </c>
      <c r="C73" s="364">
        <f t="shared" si="24"/>
        <v>0</v>
      </c>
      <c r="D73" s="237">
        <f t="shared" si="25"/>
        <v>0</v>
      </c>
      <c r="E73" s="274">
        <v>1</v>
      </c>
      <c r="F73" s="47">
        <f t="shared" si="23"/>
        <v>0</v>
      </c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312"/>
    </row>
    <row r="74" spans="2:18" x14ac:dyDescent="0.25">
      <c r="B74" s="311" t="s">
        <v>165</v>
      </c>
      <c r="C74" s="364">
        <f t="shared" si="24"/>
        <v>0</v>
      </c>
      <c r="D74" s="237">
        <f t="shared" si="25"/>
        <v>0</v>
      </c>
      <c r="E74" s="274">
        <v>1</v>
      </c>
      <c r="F74" s="47">
        <f t="shared" si="23"/>
        <v>0</v>
      </c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312"/>
    </row>
    <row r="75" spans="2:18" ht="15.75" thickBot="1" x14ac:dyDescent="0.3">
      <c r="B75" s="311" t="s">
        <v>166</v>
      </c>
      <c r="C75" s="364">
        <f t="shared" si="24"/>
        <v>0</v>
      </c>
      <c r="D75" s="237">
        <f t="shared" si="25"/>
        <v>0</v>
      </c>
      <c r="E75" s="274">
        <v>1</v>
      </c>
      <c r="F75" s="47">
        <f t="shared" si="23"/>
        <v>0</v>
      </c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312"/>
    </row>
    <row r="76" spans="2:18" ht="15.75" thickBot="1" x14ac:dyDescent="0.3">
      <c r="B76" s="480" t="s">
        <v>80</v>
      </c>
      <c r="C76" s="481">
        <f>SUM(C77:C80)</f>
        <v>0</v>
      </c>
      <c r="D76" s="400" t="s">
        <v>60</v>
      </c>
      <c r="E76" s="400" t="s">
        <v>61</v>
      </c>
      <c r="F76" s="400" t="s">
        <v>62</v>
      </c>
      <c r="G76" s="381">
        <f>SUM(G77:G80)</f>
        <v>0</v>
      </c>
      <c r="H76" s="381">
        <f t="shared" ref="H76:R76" si="27">SUM(H77:H80)</f>
        <v>0</v>
      </c>
      <c r="I76" s="381">
        <f t="shared" si="27"/>
        <v>0</v>
      </c>
      <c r="J76" s="381">
        <f t="shared" si="27"/>
        <v>0</v>
      </c>
      <c r="K76" s="381">
        <f t="shared" si="27"/>
        <v>0</v>
      </c>
      <c r="L76" s="381">
        <f t="shared" si="27"/>
        <v>0</v>
      </c>
      <c r="M76" s="381">
        <f t="shared" si="27"/>
        <v>0</v>
      </c>
      <c r="N76" s="381">
        <f t="shared" si="27"/>
        <v>0</v>
      </c>
      <c r="O76" s="381">
        <f t="shared" si="27"/>
        <v>0</v>
      </c>
      <c r="P76" s="381">
        <f t="shared" si="27"/>
        <v>0</v>
      </c>
      <c r="Q76" s="381">
        <f t="shared" si="27"/>
        <v>0</v>
      </c>
      <c r="R76" s="381">
        <f t="shared" si="27"/>
        <v>0</v>
      </c>
    </row>
    <row r="77" spans="2:18" x14ac:dyDescent="0.25">
      <c r="B77" s="280" t="s">
        <v>139</v>
      </c>
      <c r="C77" s="460">
        <f>D77</f>
        <v>0</v>
      </c>
      <c r="D77" s="322">
        <f>E77*F77</f>
        <v>0</v>
      </c>
      <c r="E77" s="274">
        <v>1</v>
      </c>
      <c r="F77" s="275">
        <f>SUM(G77:R77)</f>
        <v>0</v>
      </c>
      <c r="G77" s="278"/>
      <c r="H77" s="278"/>
      <c r="I77" s="278"/>
      <c r="J77" s="278"/>
      <c r="K77" s="278"/>
      <c r="L77" s="278"/>
      <c r="M77" s="278"/>
      <c r="N77" s="278"/>
      <c r="O77" s="278"/>
      <c r="P77" s="278"/>
      <c r="Q77" s="278"/>
      <c r="R77" s="282"/>
    </row>
    <row r="78" spans="2:18" x14ac:dyDescent="0.25">
      <c r="B78" s="280" t="s">
        <v>140</v>
      </c>
      <c r="C78" s="460">
        <f t="shared" ref="C78:C80" si="28">D78</f>
        <v>0</v>
      </c>
      <c r="D78" s="322">
        <f>E78*F78</f>
        <v>0</v>
      </c>
      <c r="E78" s="274">
        <v>1</v>
      </c>
      <c r="F78" s="275">
        <f>SUM(G78:R78)</f>
        <v>0</v>
      </c>
      <c r="G78" s="278"/>
      <c r="H78" s="278"/>
      <c r="I78" s="278"/>
      <c r="J78" s="278"/>
      <c r="K78" s="278"/>
      <c r="L78" s="278"/>
      <c r="M78" s="278"/>
      <c r="N78" s="278"/>
      <c r="O78" s="278"/>
      <c r="P78" s="278"/>
      <c r="Q78" s="278"/>
      <c r="R78" s="282"/>
    </row>
    <row r="79" spans="2:18" x14ac:dyDescent="0.25">
      <c r="B79" s="280" t="s">
        <v>197</v>
      </c>
      <c r="C79" s="460">
        <f t="shared" si="28"/>
        <v>0</v>
      </c>
      <c r="D79" s="322">
        <f>E79*F79</f>
        <v>0</v>
      </c>
      <c r="E79" s="274">
        <v>1</v>
      </c>
      <c r="F79" s="275">
        <f>SUM(G79:R79)</f>
        <v>0</v>
      </c>
      <c r="G79" s="278"/>
      <c r="H79" s="278"/>
      <c r="I79" s="278"/>
      <c r="J79" s="278"/>
      <c r="K79" s="278"/>
      <c r="L79" s="278"/>
      <c r="M79" s="278"/>
      <c r="N79" s="278"/>
      <c r="O79" s="278"/>
      <c r="P79" s="278"/>
      <c r="Q79" s="278"/>
      <c r="R79" s="282"/>
    </row>
    <row r="80" spans="2:18" ht="15.75" thickBot="1" x14ac:dyDescent="0.3">
      <c r="B80" s="283" t="s">
        <v>142</v>
      </c>
      <c r="C80" s="508">
        <f t="shared" si="28"/>
        <v>0</v>
      </c>
      <c r="D80" s="509">
        <f>E80*F80</f>
        <v>0</v>
      </c>
      <c r="E80" s="284">
        <v>1</v>
      </c>
      <c r="F80" s="285">
        <f>SUM(G80:R80)</f>
        <v>0</v>
      </c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7"/>
    </row>
  </sheetData>
  <mergeCells count="1">
    <mergeCell ref="G1:R1"/>
  </mergeCells>
  <pageMargins left="0.7" right="0.7" top="0.75" bottom="0.75" header="0.3" footer="0.3"/>
  <pageSetup orientation="portrait" horizontalDpi="360" verticalDpi="36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1BC08-B7D9-4989-BC5D-C0C5CEEFDA6E}">
  <sheetPr>
    <tabColor rgb="FF7030A0"/>
  </sheetPr>
  <dimension ref="B1:R30"/>
  <sheetViews>
    <sheetView topLeftCell="C1" workbookViewId="0">
      <selection activeCell="N33" sqref="N33"/>
    </sheetView>
  </sheetViews>
  <sheetFormatPr defaultRowHeight="15" x14ac:dyDescent="0.25"/>
  <cols>
    <col min="1" max="1" width="0" hidden="1" customWidth="1"/>
    <col min="2" max="2" width="13.5703125" hidden="1" customWidth="1"/>
    <col min="3" max="3" width="24.85546875" customWidth="1"/>
    <col min="4" max="4" width="12.5703125" style="1" bestFit="1" customWidth="1"/>
    <col min="5" max="5" width="12.5703125" style="1" customWidth="1"/>
    <col min="6" max="6" width="12.5703125" style="42" customWidth="1"/>
    <col min="7" max="8" width="10.85546875" bestFit="1" customWidth="1"/>
    <col min="9" max="18" width="11.42578125" bestFit="1" customWidth="1"/>
  </cols>
  <sheetData>
    <row r="1" spans="3:18" x14ac:dyDescent="0.25">
      <c r="C1" s="75">
        <f>Summary!G5</f>
        <v>2023</v>
      </c>
      <c r="D1" s="24"/>
      <c r="E1" s="24"/>
      <c r="F1" s="41"/>
      <c r="G1" s="565" t="str">
        <f>"CHERRY CREST RENTAL " &amp; C1 &amp;" ONLY"</f>
        <v>CHERRY CREST RENTAL 2023 ONLY</v>
      </c>
      <c r="H1" s="565"/>
      <c r="I1" s="565"/>
      <c r="J1" s="565"/>
      <c r="K1" s="565"/>
      <c r="L1" s="565"/>
      <c r="M1" s="565"/>
      <c r="N1" s="565"/>
      <c r="O1" s="565"/>
      <c r="P1" s="565"/>
      <c r="Q1" s="565"/>
      <c r="R1" s="566"/>
    </row>
    <row r="2" spans="3:18" ht="15.75" thickBot="1" x14ac:dyDescent="0.3">
      <c r="C2" s="3"/>
      <c r="D2" s="3"/>
      <c r="E2" s="3"/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115</v>
      </c>
      <c r="N2" s="3" t="s">
        <v>49</v>
      </c>
      <c r="O2" s="3" t="s">
        <v>50</v>
      </c>
      <c r="P2" s="3" t="s">
        <v>51</v>
      </c>
      <c r="Q2" s="3" t="s">
        <v>52</v>
      </c>
      <c r="R2" s="15" t="s">
        <v>53</v>
      </c>
    </row>
    <row r="3" spans="3:18" ht="15.75" thickBot="1" x14ac:dyDescent="0.3">
      <c r="C3" s="567" t="s">
        <v>198</v>
      </c>
      <c r="D3" s="568"/>
      <c r="E3" s="568"/>
      <c r="F3" s="38">
        <v>26760</v>
      </c>
      <c r="G3" s="37">
        <f>$F$3/12</f>
        <v>2230</v>
      </c>
      <c r="H3" s="37">
        <f t="shared" ref="H3:R3" si="0">$F$3/12</f>
        <v>2230</v>
      </c>
      <c r="I3" s="37">
        <f t="shared" si="0"/>
        <v>2230</v>
      </c>
      <c r="J3" s="37">
        <f t="shared" si="0"/>
        <v>2230</v>
      </c>
      <c r="K3" s="37">
        <f t="shared" si="0"/>
        <v>2230</v>
      </c>
      <c r="L3" s="37">
        <f t="shared" si="0"/>
        <v>2230</v>
      </c>
      <c r="M3" s="37">
        <f t="shared" si="0"/>
        <v>2230</v>
      </c>
      <c r="N3" s="37">
        <f t="shared" si="0"/>
        <v>2230</v>
      </c>
      <c r="O3" s="37">
        <f t="shared" si="0"/>
        <v>2230</v>
      </c>
      <c r="P3" s="37">
        <f t="shared" si="0"/>
        <v>2230</v>
      </c>
      <c r="Q3" s="37">
        <f t="shared" si="0"/>
        <v>2230</v>
      </c>
      <c r="R3" s="37">
        <f t="shared" si="0"/>
        <v>2230</v>
      </c>
    </row>
    <row r="4" spans="3:18" ht="12.75" customHeight="1" x14ac:dyDescent="0.25">
      <c r="C4" s="569"/>
      <c r="D4" s="570"/>
      <c r="E4" s="570"/>
      <c r="F4" s="570"/>
      <c r="G4" s="570"/>
      <c r="H4" s="570"/>
      <c r="I4" s="570"/>
      <c r="J4" s="570"/>
      <c r="K4" s="570"/>
      <c r="L4" s="570"/>
      <c r="M4" s="570"/>
      <c r="N4" s="570"/>
      <c r="O4" s="570"/>
      <c r="P4" s="570"/>
      <c r="Q4" s="570"/>
      <c r="R4" s="571"/>
    </row>
    <row r="5" spans="3:18" x14ac:dyDescent="0.25">
      <c r="C5" s="32" t="s">
        <v>199</v>
      </c>
      <c r="D5" s="28"/>
      <c r="E5" s="28"/>
      <c r="F5" s="47">
        <f>SUM(G5:R5)</f>
        <v>5012.04</v>
      </c>
      <c r="G5" s="48">
        <f>SUM(G6:G22)</f>
        <v>417.67</v>
      </c>
      <c r="H5" s="48">
        <f t="shared" ref="H5:R5" si="1">SUM(H6:H22)</f>
        <v>417.67</v>
      </c>
      <c r="I5" s="48">
        <f t="shared" si="1"/>
        <v>417.67</v>
      </c>
      <c r="J5" s="48">
        <f t="shared" si="1"/>
        <v>417.67</v>
      </c>
      <c r="K5" s="48">
        <f t="shared" si="1"/>
        <v>417.67</v>
      </c>
      <c r="L5" s="48">
        <f t="shared" si="1"/>
        <v>417.67</v>
      </c>
      <c r="M5" s="48">
        <f t="shared" si="1"/>
        <v>417.67</v>
      </c>
      <c r="N5" s="48">
        <f t="shared" si="1"/>
        <v>417.67</v>
      </c>
      <c r="O5" s="48">
        <f t="shared" si="1"/>
        <v>417.67</v>
      </c>
      <c r="P5" s="48">
        <f t="shared" si="1"/>
        <v>417.67</v>
      </c>
      <c r="Q5" s="48">
        <f t="shared" si="1"/>
        <v>417.67</v>
      </c>
      <c r="R5" s="48">
        <f t="shared" si="1"/>
        <v>417.67</v>
      </c>
    </row>
    <row r="6" spans="3:18" x14ac:dyDescent="0.25">
      <c r="C6" s="56" t="s">
        <v>200</v>
      </c>
      <c r="D6" s="25"/>
      <c r="E6" s="25"/>
      <c r="F6" s="47">
        <f t="shared" ref="F6:F27" si="2">SUM(G6:R6)</f>
        <v>0</v>
      </c>
      <c r="G6" s="49">
        <v>0</v>
      </c>
      <c r="H6" s="49">
        <v>0</v>
      </c>
      <c r="I6" s="49">
        <v>0</v>
      </c>
      <c r="J6" s="49">
        <v>0</v>
      </c>
      <c r="K6" s="49">
        <v>0</v>
      </c>
      <c r="L6" s="49">
        <v>0</v>
      </c>
      <c r="M6" s="49">
        <v>0</v>
      </c>
      <c r="N6" s="49">
        <v>0</v>
      </c>
      <c r="O6" s="49">
        <v>0</v>
      </c>
      <c r="P6" s="49">
        <v>0</v>
      </c>
      <c r="Q6" s="49">
        <v>0</v>
      </c>
      <c r="R6" s="50">
        <v>0</v>
      </c>
    </row>
    <row r="7" spans="3:18" x14ac:dyDescent="0.25">
      <c r="C7" s="56" t="s">
        <v>201</v>
      </c>
      <c r="D7" s="25"/>
      <c r="E7" s="25"/>
      <c r="F7" s="47">
        <f t="shared" si="2"/>
        <v>0</v>
      </c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</row>
    <row r="8" spans="3:18" x14ac:dyDescent="0.25">
      <c r="C8" s="56" t="s">
        <v>68</v>
      </c>
      <c r="D8" s="25"/>
      <c r="E8" s="25"/>
      <c r="F8" s="47">
        <f t="shared" si="2"/>
        <v>0</v>
      </c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50"/>
    </row>
    <row r="9" spans="3:18" x14ac:dyDescent="0.25">
      <c r="C9" s="56" t="s">
        <v>202</v>
      </c>
      <c r="D9" s="25"/>
      <c r="E9" s="25"/>
      <c r="F9" s="47">
        <f t="shared" si="2"/>
        <v>5012.04</v>
      </c>
      <c r="G9" s="49">
        <v>417.67</v>
      </c>
      <c r="H9" s="49">
        <v>417.67</v>
      </c>
      <c r="I9" s="49">
        <v>417.67</v>
      </c>
      <c r="J9" s="49">
        <v>417.67</v>
      </c>
      <c r="K9" s="49">
        <v>417.67</v>
      </c>
      <c r="L9" s="49">
        <v>417.67</v>
      </c>
      <c r="M9" s="49">
        <v>417.67</v>
      </c>
      <c r="N9" s="49">
        <v>417.67</v>
      </c>
      <c r="O9" s="49">
        <v>417.67</v>
      </c>
      <c r="P9" s="49">
        <v>417.67</v>
      </c>
      <c r="Q9" s="49">
        <v>417.67</v>
      </c>
      <c r="R9" s="49">
        <v>417.67</v>
      </c>
    </row>
    <row r="10" spans="3:18" x14ac:dyDescent="0.25">
      <c r="C10" s="56" t="s">
        <v>69</v>
      </c>
      <c r="D10" s="25"/>
      <c r="E10" s="25"/>
      <c r="F10" s="47">
        <f t="shared" si="2"/>
        <v>0</v>
      </c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50"/>
    </row>
    <row r="11" spans="3:18" x14ac:dyDescent="0.25">
      <c r="C11" s="56" t="s">
        <v>203</v>
      </c>
      <c r="D11" s="25"/>
      <c r="E11" s="25"/>
      <c r="F11" s="47">
        <f t="shared" si="2"/>
        <v>0</v>
      </c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50"/>
    </row>
    <row r="12" spans="3:18" x14ac:dyDescent="0.25">
      <c r="C12" s="56"/>
      <c r="D12" s="25"/>
      <c r="E12" s="25"/>
      <c r="F12" s="47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</row>
    <row r="13" spans="3:18" x14ac:dyDescent="0.25">
      <c r="C13" s="56" t="s">
        <v>63</v>
      </c>
      <c r="D13" s="25"/>
      <c r="E13" s="25"/>
      <c r="F13" s="47">
        <f t="shared" si="2"/>
        <v>0</v>
      </c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</row>
    <row r="14" spans="3:18" x14ac:dyDescent="0.25">
      <c r="C14" s="56" t="s">
        <v>64</v>
      </c>
      <c r="D14" s="25"/>
      <c r="E14" s="25"/>
      <c r="F14" s="47">
        <f t="shared" si="2"/>
        <v>0</v>
      </c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50"/>
    </row>
    <row r="15" spans="3:18" x14ac:dyDescent="0.25">
      <c r="C15" s="56" t="s">
        <v>177</v>
      </c>
      <c r="D15" s="25"/>
      <c r="E15" s="25"/>
      <c r="F15" s="47">
        <f t="shared" si="2"/>
        <v>0</v>
      </c>
      <c r="G15" s="52"/>
      <c r="H15" s="49"/>
      <c r="I15" s="49"/>
      <c r="J15" s="52"/>
      <c r="K15" s="49"/>
      <c r="L15" s="52"/>
      <c r="M15" s="49"/>
      <c r="N15" s="52"/>
      <c r="O15" s="49"/>
      <c r="P15" s="52"/>
      <c r="Q15" s="49"/>
      <c r="R15" s="50"/>
    </row>
    <row r="16" spans="3:18" x14ac:dyDescent="0.25">
      <c r="C16" s="56" t="s">
        <v>66</v>
      </c>
      <c r="D16" s="25"/>
      <c r="E16" s="25"/>
      <c r="F16" s="47">
        <f t="shared" si="2"/>
        <v>0</v>
      </c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50"/>
    </row>
    <row r="17" spans="2:18" x14ac:dyDescent="0.25">
      <c r="B17" t="s">
        <v>83</v>
      </c>
      <c r="C17" s="56" t="s">
        <v>84</v>
      </c>
      <c r="D17" s="25"/>
      <c r="E17" s="25"/>
      <c r="F17" s="47">
        <f>SUM(G17:R17)</f>
        <v>0</v>
      </c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50"/>
    </row>
    <row r="18" spans="2:18" x14ac:dyDescent="0.25">
      <c r="C18" s="57"/>
    </row>
    <row r="19" spans="2:18" x14ac:dyDescent="0.25">
      <c r="C19" s="56" t="s">
        <v>67</v>
      </c>
      <c r="D19" s="25"/>
      <c r="E19" s="25"/>
      <c r="F19" s="47">
        <f>SUM(G19:R19)</f>
        <v>0</v>
      </c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</row>
    <row r="20" spans="2:18" x14ac:dyDescent="0.25">
      <c r="C20" s="56" t="s">
        <v>78</v>
      </c>
      <c r="D20" s="25"/>
      <c r="E20" s="25"/>
      <c r="F20" s="47">
        <f t="shared" si="2"/>
        <v>0</v>
      </c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50"/>
    </row>
    <row r="21" spans="2:18" x14ac:dyDescent="0.25">
      <c r="B21" t="s">
        <v>89</v>
      </c>
      <c r="C21" s="56" t="s">
        <v>88</v>
      </c>
      <c r="D21" s="25"/>
      <c r="E21" s="25"/>
      <c r="F21" s="47">
        <f t="shared" si="2"/>
        <v>0</v>
      </c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50"/>
    </row>
    <row r="22" spans="2:18" x14ac:dyDescent="0.25">
      <c r="C22" s="56" t="s">
        <v>91</v>
      </c>
      <c r="D22" s="25"/>
      <c r="E22" s="25"/>
      <c r="F22" s="47">
        <f t="shared" si="2"/>
        <v>0</v>
      </c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50"/>
    </row>
    <row r="23" spans="2:18" x14ac:dyDescent="0.25">
      <c r="C23" s="56"/>
      <c r="D23" s="25"/>
      <c r="E23" s="25"/>
      <c r="F23" s="4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6"/>
    </row>
    <row r="24" spans="2:18" hidden="1" x14ac:dyDescent="0.25">
      <c r="C24" s="31" t="s">
        <v>93</v>
      </c>
      <c r="D24" s="29"/>
      <c r="E24" s="29"/>
      <c r="F24" s="4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6"/>
    </row>
    <row r="25" spans="2:18" hidden="1" x14ac:dyDescent="0.25">
      <c r="C25" s="31" t="s">
        <v>95</v>
      </c>
      <c r="D25" s="29"/>
      <c r="E25" s="29"/>
      <c r="F25" s="4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6"/>
    </row>
    <row r="26" spans="2:18" hidden="1" x14ac:dyDescent="0.25">
      <c r="C26" s="31" t="s">
        <v>97</v>
      </c>
      <c r="D26" s="29"/>
      <c r="E26" s="29"/>
      <c r="F26" s="4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6"/>
    </row>
    <row r="27" spans="2:18" ht="15.75" hidden="1" thickBot="1" x14ac:dyDescent="0.3">
      <c r="C27" s="33" t="s">
        <v>99</v>
      </c>
      <c r="D27" s="34"/>
      <c r="E27" s="34"/>
      <c r="F27" s="46">
        <f t="shared" si="2"/>
        <v>0</v>
      </c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40"/>
    </row>
    <row r="30" spans="2:18" x14ac:dyDescent="0.25">
      <c r="C30" t="s">
        <v>204</v>
      </c>
      <c r="F30" s="58">
        <f>F3-F5</f>
        <v>21747.96</v>
      </c>
    </row>
  </sheetData>
  <mergeCells count="3">
    <mergeCell ref="G1:R1"/>
    <mergeCell ref="C3:E3"/>
    <mergeCell ref="C4:R4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D0BE-45D0-448D-8A04-2618F6F800BF}">
  <sheetPr>
    <tabColor rgb="FF7030A0"/>
  </sheetPr>
  <dimension ref="B1:R30"/>
  <sheetViews>
    <sheetView topLeftCell="C1" workbookViewId="0">
      <selection activeCell="K36" sqref="K36"/>
    </sheetView>
  </sheetViews>
  <sheetFormatPr defaultRowHeight="15" x14ac:dyDescent="0.25"/>
  <cols>
    <col min="1" max="1" width="0" hidden="1" customWidth="1"/>
    <col min="2" max="2" width="13.5703125" hidden="1" customWidth="1"/>
    <col min="3" max="3" width="24.85546875" customWidth="1"/>
    <col min="4" max="4" width="12.5703125" style="1" bestFit="1" customWidth="1"/>
    <col min="5" max="5" width="12.5703125" style="1" customWidth="1"/>
    <col min="6" max="6" width="12.5703125" style="42" customWidth="1"/>
    <col min="7" max="8" width="10.85546875" bestFit="1" customWidth="1"/>
    <col min="9" max="18" width="11.42578125" bestFit="1" customWidth="1"/>
  </cols>
  <sheetData>
    <row r="1" spans="3:18" x14ac:dyDescent="0.25">
      <c r="C1" s="75">
        <f>Summary!G5</f>
        <v>2023</v>
      </c>
      <c r="D1" s="24"/>
      <c r="E1" s="24"/>
      <c r="F1" s="41"/>
      <c r="G1" s="565" t="str">
        <f>"CHERRY CREST RENTAL " &amp; C1 &amp;" ONLY"</f>
        <v>CHERRY CREST RENTAL 2023 ONLY</v>
      </c>
      <c r="H1" s="565"/>
      <c r="I1" s="565"/>
      <c r="J1" s="565"/>
      <c r="K1" s="565"/>
      <c r="L1" s="565"/>
      <c r="M1" s="565"/>
      <c r="N1" s="565"/>
      <c r="O1" s="565"/>
      <c r="P1" s="565"/>
      <c r="Q1" s="565"/>
      <c r="R1" s="566"/>
    </row>
    <row r="2" spans="3:18" x14ac:dyDescent="0.25">
      <c r="C2" s="3"/>
      <c r="D2" s="3"/>
      <c r="E2" s="3"/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115</v>
      </c>
      <c r="N2" s="3" t="s">
        <v>49</v>
      </c>
      <c r="O2" s="3" t="s">
        <v>50</v>
      </c>
      <c r="P2" s="3" t="s">
        <v>51</v>
      </c>
      <c r="Q2" s="3" t="s">
        <v>52</v>
      </c>
      <c r="R2" s="15" t="s">
        <v>53</v>
      </c>
    </row>
    <row r="3" spans="3:18" x14ac:dyDescent="0.25">
      <c r="C3" s="567" t="s">
        <v>198</v>
      </c>
      <c r="D3" s="568"/>
      <c r="E3" s="568"/>
      <c r="F3" s="38">
        <v>26760</v>
      </c>
      <c r="G3" s="37">
        <f>$F$3/12</f>
        <v>2230</v>
      </c>
      <c r="H3" s="37">
        <f t="shared" ref="H3:R3" si="0">$F$3/12</f>
        <v>2230</v>
      </c>
      <c r="I3" s="37">
        <f t="shared" si="0"/>
        <v>2230</v>
      </c>
      <c r="J3" s="37">
        <f t="shared" si="0"/>
        <v>2230</v>
      </c>
      <c r="K3" s="37">
        <f t="shared" si="0"/>
        <v>2230</v>
      </c>
      <c r="L3" s="37">
        <f t="shared" si="0"/>
        <v>2230</v>
      </c>
      <c r="M3" s="37">
        <f t="shared" si="0"/>
        <v>2230</v>
      </c>
      <c r="N3" s="37">
        <f t="shared" si="0"/>
        <v>2230</v>
      </c>
      <c r="O3" s="37">
        <f t="shared" si="0"/>
        <v>2230</v>
      </c>
      <c r="P3" s="37">
        <f t="shared" si="0"/>
        <v>2230</v>
      </c>
      <c r="Q3" s="37">
        <f t="shared" si="0"/>
        <v>2230</v>
      </c>
      <c r="R3" s="37">
        <f t="shared" si="0"/>
        <v>2230</v>
      </c>
    </row>
    <row r="4" spans="3:18" ht="12.75" customHeight="1" x14ac:dyDescent="0.25">
      <c r="C4" s="569"/>
      <c r="D4" s="570"/>
      <c r="E4" s="570"/>
      <c r="F4" s="570"/>
      <c r="G4" s="570"/>
      <c r="H4" s="570"/>
      <c r="I4" s="570"/>
      <c r="J4" s="570"/>
      <c r="K4" s="570"/>
      <c r="L4" s="570"/>
      <c r="M4" s="570"/>
      <c r="N4" s="570"/>
      <c r="O4" s="570"/>
      <c r="P4" s="570"/>
      <c r="Q4" s="570"/>
      <c r="R4" s="571"/>
    </row>
    <row r="5" spans="3:18" x14ac:dyDescent="0.25">
      <c r="C5" s="32" t="s">
        <v>199</v>
      </c>
      <c r="D5" s="28"/>
      <c r="E5" s="28"/>
      <c r="F5" s="47">
        <f>SUM(G5:R5)</f>
        <v>5012.04</v>
      </c>
      <c r="G5" s="48">
        <f>SUM(G6:G22)</f>
        <v>417.67</v>
      </c>
      <c r="H5" s="48">
        <f t="shared" ref="H5:R5" si="1">SUM(H6:H22)</f>
        <v>417.67</v>
      </c>
      <c r="I5" s="48">
        <f t="shared" si="1"/>
        <v>417.67</v>
      </c>
      <c r="J5" s="48">
        <f t="shared" si="1"/>
        <v>417.67</v>
      </c>
      <c r="K5" s="48">
        <f t="shared" si="1"/>
        <v>417.67</v>
      </c>
      <c r="L5" s="48">
        <f t="shared" si="1"/>
        <v>417.67</v>
      </c>
      <c r="M5" s="48">
        <f t="shared" si="1"/>
        <v>417.67</v>
      </c>
      <c r="N5" s="48">
        <f t="shared" si="1"/>
        <v>417.67</v>
      </c>
      <c r="O5" s="48">
        <f t="shared" si="1"/>
        <v>417.67</v>
      </c>
      <c r="P5" s="48">
        <f t="shared" si="1"/>
        <v>417.67</v>
      </c>
      <c r="Q5" s="48">
        <f t="shared" si="1"/>
        <v>417.67</v>
      </c>
      <c r="R5" s="48">
        <f t="shared" si="1"/>
        <v>417.67</v>
      </c>
    </row>
    <row r="6" spans="3:18" x14ac:dyDescent="0.25">
      <c r="C6" s="56" t="s">
        <v>200</v>
      </c>
      <c r="D6" s="25"/>
      <c r="E6" s="25"/>
      <c r="F6" s="47">
        <f t="shared" ref="F6:F27" si="2">SUM(G6:R6)</f>
        <v>0</v>
      </c>
      <c r="G6" s="49">
        <v>0</v>
      </c>
      <c r="H6" s="49">
        <v>0</v>
      </c>
      <c r="I6" s="49">
        <v>0</v>
      </c>
      <c r="J6" s="49">
        <v>0</v>
      </c>
      <c r="K6" s="49">
        <v>0</v>
      </c>
      <c r="L6" s="49">
        <v>0</v>
      </c>
      <c r="M6" s="49">
        <v>0</v>
      </c>
      <c r="N6" s="49">
        <v>0</v>
      </c>
      <c r="O6" s="49">
        <v>0</v>
      </c>
      <c r="P6" s="49">
        <v>0</v>
      </c>
      <c r="Q6" s="49">
        <v>0</v>
      </c>
      <c r="R6" s="50">
        <v>0</v>
      </c>
    </row>
    <row r="7" spans="3:18" x14ac:dyDescent="0.25">
      <c r="C7" s="56" t="s">
        <v>201</v>
      </c>
      <c r="D7" s="25"/>
      <c r="E7" s="25"/>
      <c r="F7" s="47">
        <f t="shared" si="2"/>
        <v>0</v>
      </c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</row>
    <row r="8" spans="3:18" x14ac:dyDescent="0.25">
      <c r="C8" s="56" t="s">
        <v>68</v>
      </c>
      <c r="D8" s="25"/>
      <c r="E8" s="25"/>
      <c r="F8" s="47">
        <f t="shared" si="2"/>
        <v>0</v>
      </c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50"/>
    </row>
    <row r="9" spans="3:18" x14ac:dyDescent="0.25">
      <c r="C9" s="56" t="s">
        <v>202</v>
      </c>
      <c r="D9" s="25"/>
      <c r="E9" s="25"/>
      <c r="F9" s="47">
        <f t="shared" si="2"/>
        <v>5012.04</v>
      </c>
      <c r="G9" s="49">
        <v>417.67</v>
      </c>
      <c r="H9" s="49">
        <v>417.67</v>
      </c>
      <c r="I9" s="49">
        <v>417.67</v>
      </c>
      <c r="J9" s="49">
        <v>417.67</v>
      </c>
      <c r="K9" s="49">
        <v>417.67</v>
      </c>
      <c r="L9" s="49">
        <v>417.67</v>
      </c>
      <c r="M9" s="49">
        <v>417.67</v>
      </c>
      <c r="N9" s="49">
        <v>417.67</v>
      </c>
      <c r="O9" s="49">
        <v>417.67</v>
      </c>
      <c r="P9" s="49">
        <v>417.67</v>
      </c>
      <c r="Q9" s="49">
        <v>417.67</v>
      </c>
      <c r="R9" s="49">
        <v>417.67</v>
      </c>
    </row>
    <row r="10" spans="3:18" x14ac:dyDescent="0.25">
      <c r="C10" s="56" t="s">
        <v>69</v>
      </c>
      <c r="D10" s="25"/>
      <c r="E10" s="25"/>
      <c r="F10" s="47">
        <f t="shared" si="2"/>
        <v>0</v>
      </c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50"/>
    </row>
    <row r="11" spans="3:18" x14ac:dyDescent="0.25">
      <c r="C11" s="56" t="s">
        <v>203</v>
      </c>
      <c r="D11" s="25"/>
      <c r="E11" s="25"/>
      <c r="F11" s="47">
        <f t="shared" si="2"/>
        <v>0</v>
      </c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50"/>
    </row>
    <row r="12" spans="3:18" x14ac:dyDescent="0.25">
      <c r="C12" s="56"/>
      <c r="D12" s="25"/>
      <c r="E12" s="25"/>
      <c r="F12" s="47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</row>
    <row r="13" spans="3:18" x14ac:dyDescent="0.25">
      <c r="C13" s="56" t="s">
        <v>63</v>
      </c>
      <c r="D13" s="25"/>
      <c r="E13" s="25"/>
      <c r="F13" s="47">
        <f t="shared" si="2"/>
        <v>0</v>
      </c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</row>
    <row r="14" spans="3:18" x14ac:dyDescent="0.25">
      <c r="C14" s="56" t="s">
        <v>64</v>
      </c>
      <c r="D14" s="25"/>
      <c r="E14" s="25"/>
      <c r="F14" s="47">
        <f t="shared" si="2"/>
        <v>0</v>
      </c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50"/>
    </row>
    <row r="15" spans="3:18" x14ac:dyDescent="0.25">
      <c r="C15" s="56" t="s">
        <v>177</v>
      </c>
      <c r="D15" s="25"/>
      <c r="E15" s="25"/>
      <c r="F15" s="47">
        <f t="shared" si="2"/>
        <v>0</v>
      </c>
      <c r="G15" s="52"/>
      <c r="H15" s="49"/>
      <c r="I15" s="49"/>
      <c r="J15" s="52"/>
      <c r="K15" s="49"/>
      <c r="L15" s="52"/>
      <c r="M15" s="49"/>
      <c r="N15" s="52"/>
      <c r="O15" s="49"/>
      <c r="P15" s="52"/>
      <c r="Q15" s="49"/>
      <c r="R15" s="50"/>
    </row>
    <row r="16" spans="3:18" x14ac:dyDescent="0.25">
      <c r="C16" s="56" t="s">
        <v>66</v>
      </c>
      <c r="D16" s="25"/>
      <c r="E16" s="25"/>
      <c r="F16" s="47">
        <f t="shared" si="2"/>
        <v>0</v>
      </c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50"/>
    </row>
    <row r="17" spans="2:18" x14ac:dyDescent="0.25">
      <c r="B17" t="s">
        <v>83</v>
      </c>
      <c r="C17" s="56" t="s">
        <v>84</v>
      </c>
      <c r="D17" s="25"/>
      <c r="E17" s="25"/>
      <c r="F17" s="47">
        <f>SUM(G17:R17)</f>
        <v>0</v>
      </c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50"/>
    </row>
    <row r="18" spans="2:18" x14ac:dyDescent="0.25">
      <c r="C18" s="57"/>
    </row>
    <row r="19" spans="2:18" x14ac:dyDescent="0.25">
      <c r="C19" s="56" t="s">
        <v>67</v>
      </c>
      <c r="D19" s="25"/>
      <c r="E19" s="25"/>
      <c r="F19" s="47">
        <f>SUM(G19:R19)</f>
        <v>0</v>
      </c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</row>
    <row r="20" spans="2:18" x14ac:dyDescent="0.25">
      <c r="C20" s="56" t="s">
        <v>78</v>
      </c>
      <c r="D20" s="25"/>
      <c r="E20" s="25"/>
      <c r="F20" s="47">
        <f t="shared" si="2"/>
        <v>0</v>
      </c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50"/>
    </row>
    <row r="21" spans="2:18" x14ac:dyDescent="0.25">
      <c r="B21" t="s">
        <v>89</v>
      </c>
      <c r="C21" s="56" t="s">
        <v>88</v>
      </c>
      <c r="D21" s="25"/>
      <c r="E21" s="25"/>
      <c r="F21" s="47">
        <f t="shared" si="2"/>
        <v>0</v>
      </c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50"/>
    </row>
    <row r="22" spans="2:18" x14ac:dyDescent="0.25">
      <c r="C22" s="56" t="s">
        <v>91</v>
      </c>
      <c r="D22" s="25"/>
      <c r="E22" s="25"/>
      <c r="F22" s="47">
        <f t="shared" si="2"/>
        <v>0</v>
      </c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50"/>
    </row>
    <row r="23" spans="2:18" x14ac:dyDescent="0.25">
      <c r="C23" s="56"/>
      <c r="D23" s="25"/>
      <c r="E23" s="25"/>
      <c r="F23" s="4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6"/>
    </row>
    <row r="24" spans="2:18" hidden="1" x14ac:dyDescent="0.25">
      <c r="C24" s="31" t="s">
        <v>93</v>
      </c>
      <c r="D24" s="29"/>
      <c r="E24" s="29"/>
      <c r="F24" s="4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6"/>
    </row>
    <row r="25" spans="2:18" hidden="1" x14ac:dyDescent="0.25">
      <c r="C25" s="31" t="s">
        <v>95</v>
      </c>
      <c r="D25" s="29"/>
      <c r="E25" s="29"/>
      <c r="F25" s="4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6"/>
    </row>
    <row r="26" spans="2:18" hidden="1" x14ac:dyDescent="0.25">
      <c r="C26" s="31" t="s">
        <v>97</v>
      </c>
      <c r="D26" s="29"/>
      <c r="E26" s="29"/>
      <c r="F26" s="4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6"/>
    </row>
    <row r="27" spans="2:18" hidden="1" x14ac:dyDescent="0.25">
      <c r="C27" s="33" t="s">
        <v>99</v>
      </c>
      <c r="D27" s="34"/>
      <c r="E27" s="34"/>
      <c r="F27" s="46">
        <f t="shared" si="2"/>
        <v>0</v>
      </c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40"/>
    </row>
    <row r="30" spans="2:18" x14ac:dyDescent="0.25">
      <c r="C30" t="s">
        <v>204</v>
      </c>
      <c r="F30" s="58">
        <f>F3-F5</f>
        <v>21747.96</v>
      </c>
    </row>
  </sheetData>
  <mergeCells count="3">
    <mergeCell ref="G1:R1"/>
    <mergeCell ref="C3:E3"/>
    <mergeCell ref="C4:R4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8CC53-FF7D-4A72-B5CB-EAEF24EE30C3}">
  <sheetPr>
    <tabColor rgb="FF7030A0"/>
  </sheetPr>
  <dimension ref="B1:R30"/>
  <sheetViews>
    <sheetView topLeftCell="C1" workbookViewId="0">
      <selection activeCell="K36" sqref="K36"/>
    </sheetView>
  </sheetViews>
  <sheetFormatPr defaultRowHeight="15" x14ac:dyDescent="0.25"/>
  <cols>
    <col min="1" max="1" width="0" hidden="1" customWidth="1"/>
    <col min="2" max="2" width="13.5703125" hidden="1" customWidth="1"/>
    <col min="3" max="3" width="24.85546875" customWidth="1"/>
    <col min="4" max="4" width="12.5703125" style="1" bestFit="1" customWidth="1"/>
    <col min="5" max="5" width="12.5703125" style="1" customWidth="1"/>
    <col min="6" max="6" width="12.5703125" style="42" customWidth="1"/>
    <col min="7" max="8" width="10.85546875" bestFit="1" customWidth="1"/>
    <col min="9" max="18" width="11.42578125" bestFit="1" customWidth="1"/>
  </cols>
  <sheetData>
    <row r="1" spans="3:18" x14ac:dyDescent="0.25">
      <c r="C1" s="75">
        <f>Summary!H5</f>
        <v>2022</v>
      </c>
      <c r="D1" s="24"/>
      <c r="E1" s="24"/>
      <c r="F1" s="41"/>
      <c r="G1" s="565" t="str">
        <f>"CHERRY CREST RENTAL " &amp; C1 &amp;" ONLY"</f>
        <v>CHERRY CREST RENTAL 2022 ONLY</v>
      </c>
      <c r="H1" s="565"/>
      <c r="I1" s="565"/>
      <c r="J1" s="565"/>
      <c r="K1" s="565"/>
      <c r="L1" s="565"/>
      <c r="M1" s="565"/>
      <c r="N1" s="565"/>
      <c r="O1" s="565"/>
      <c r="P1" s="565"/>
      <c r="Q1" s="565"/>
      <c r="R1" s="566"/>
    </row>
    <row r="2" spans="3:18" x14ac:dyDescent="0.25">
      <c r="C2" s="3"/>
      <c r="D2" s="3"/>
      <c r="E2" s="3"/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115</v>
      </c>
      <c r="N2" s="3" t="s">
        <v>49</v>
      </c>
      <c r="O2" s="3" t="s">
        <v>50</v>
      </c>
      <c r="P2" s="3" t="s">
        <v>51</v>
      </c>
      <c r="Q2" s="3" t="s">
        <v>52</v>
      </c>
      <c r="R2" s="15" t="s">
        <v>53</v>
      </c>
    </row>
    <row r="3" spans="3:18" x14ac:dyDescent="0.25">
      <c r="C3" s="567" t="s">
        <v>198</v>
      </c>
      <c r="D3" s="568"/>
      <c r="E3" s="568"/>
      <c r="F3" s="38">
        <v>26760</v>
      </c>
      <c r="G3" s="37">
        <f>$F$3/12</f>
        <v>2230</v>
      </c>
      <c r="H3" s="37">
        <f t="shared" ref="H3:R3" si="0">$F$3/12</f>
        <v>2230</v>
      </c>
      <c r="I3" s="37">
        <f t="shared" si="0"/>
        <v>2230</v>
      </c>
      <c r="J3" s="37">
        <f t="shared" si="0"/>
        <v>2230</v>
      </c>
      <c r="K3" s="37">
        <f t="shared" si="0"/>
        <v>2230</v>
      </c>
      <c r="L3" s="37">
        <f t="shared" si="0"/>
        <v>2230</v>
      </c>
      <c r="M3" s="37">
        <f t="shared" si="0"/>
        <v>2230</v>
      </c>
      <c r="N3" s="37">
        <f t="shared" si="0"/>
        <v>2230</v>
      </c>
      <c r="O3" s="37">
        <f t="shared" si="0"/>
        <v>2230</v>
      </c>
      <c r="P3" s="37">
        <f t="shared" si="0"/>
        <v>2230</v>
      </c>
      <c r="Q3" s="37">
        <f t="shared" si="0"/>
        <v>2230</v>
      </c>
      <c r="R3" s="37">
        <f t="shared" si="0"/>
        <v>2230</v>
      </c>
    </row>
    <row r="4" spans="3:18" ht="12.75" customHeight="1" x14ac:dyDescent="0.25">
      <c r="C4" s="569"/>
      <c r="D4" s="570"/>
      <c r="E4" s="570"/>
      <c r="F4" s="570"/>
      <c r="G4" s="570"/>
      <c r="H4" s="570"/>
      <c r="I4" s="570"/>
      <c r="J4" s="570"/>
      <c r="K4" s="570"/>
      <c r="L4" s="570"/>
      <c r="M4" s="570"/>
      <c r="N4" s="570"/>
      <c r="O4" s="570"/>
      <c r="P4" s="570"/>
      <c r="Q4" s="570"/>
      <c r="R4" s="571"/>
    </row>
    <row r="5" spans="3:18" x14ac:dyDescent="0.25">
      <c r="C5" s="32" t="s">
        <v>199</v>
      </c>
      <c r="D5" s="28"/>
      <c r="E5" s="28"/>
      <c r="F5" s="47">
        <f>SUM(G5:R5)</f>
        <v>5012.04</v>
      </c>
      <c r="G5" s="48">
        <f>SUM(G6:G22)</f>
        <v>417.67</v>
      </c>
      <c r="H5" s="48">
        <f t="shared" ref="H5:R5" si="1">SUM(H6:H22)</f>
        <v>417.67</v>
      </c>
      <c r="I5" s="48">
        <f t="shared" si="1"/>
        <v>417.67</v>
      </c>
      <c r="J5" s="48">
        <f t="shared" si="1"/>
        <v>417.67</v>
      </c>
      <c r="K5" s="48">
        <f t="shared" si="1"/>
        <v>417.67</v>
      </c>
      <c r="L5" s="48">
        <f t="shared" si="1"/>
        <v>417.67</v>
      </c>
      <c r="M5" s="48">
        <f t="shared" si="1"/>
        <v>417.67</v>
      </c>
      <c r="N5" s="48">
        <f t="shared" si="1"/>
        <v>417.67</v>
      </c>
      <c r="O5" s="48">
        <f t="shared" si="1"/>
        <v>417.67</v>
      </c>
      <c r="P5" s="48">
        <f t="shared" si="1"/>
        <v>417.67</v>
      </c>
      <c r="Q5" s="48">
        <f t="shared" si="1"/>
        <v>417.67</v>
      </c>
      <c r="R5" s="48">
        <f t="shared" si="1"/>
        <v>417.67</v>
      </c>
    </row>
    <row r="6" spans="3:18" x14ac:dyDescent="0.25">
      <c r="C6" s="56" t="s">
        <v>200</v>
      </c>
      <c r="D6" s="25"/>
      <c r="E6" s="25"/>
      <c r="F6" s="47">
        <f t="shared" ref="F6:F27" si="2">SUM(G6:R6)</f>
        <v>0</v>
      </c>
      <c r="G6" s="49">
        <v>0</v>
      </c>
      <c r="H6" s="49">
        <v>0</v>
      </c>
      <c r="I6" s="49">
        <v>0</v>
      </c>
      <c r="J6" s="49">
        <v>0</v>
      </c>
      <c r="K6" s="49">
        <v>0</v>
      </c>
      <c r="L6" s="49">
        <v>0</v>
      </c>
      <c r="M6" s="49">
        <v>0</v>
      </c>
      <c r="N6" s="49">
        <v>0</v>
      </c>
      <c r="O6" s="49">
        <v>0</v>
      </c>
      <c r="P6" s="49">
        <v>0</v>
      </c>
      <c r="Q6" s="49">
        <v>0</v>
      </c>
      <c r="R6" s="50">
        <v>0</v>
      </c>
    </row>
    <row r="7" spans="3:18" x14ac:dyDescent="0.25">
      <c r="C7" s="56" t="s">
        <v>201</v>
      </c>
      <c r="D7" s="25"/>
      <c r="E7" s="25"/>
      <c r="F7" s="47">
        <f t="shared" si="2"/>
        <v>0</v>
      </c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</row>
    <row r="8" spans="3:18" x14ac:dyDescent="0.25">
      <c r="C8" s="56" t="s">
        <v>68</v>
      </c>
      <c r="D8" s="25"/>
      <c r="E8" s="25"/>
      <c r="F8" s="47">
        <f t="shared" si="2"/>
        <v>0</v>
      </c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50"/>
    </row>
    <row r="9" spans="3:18" x14ac:dyDescent="0.25">
      <c r="C9" s="56" t="s">
        <v>202</v>
      </c>
      <c r="D9" s="25"/>
      <c r="E9" s="25"/>
      <c r="F9" s="47">
        <f t="shared" si="2"/>
        <v>5012.04</v>
      </c>
      <c r="G9" s="49">
        <v>417.67</v>
      </c>
      <c r="H9" s="49">
        <v>417.67</v>
      </c>
      <c r="I9" s="49">
        <v>417.67</v>
      </c>
      <c r="J9" s="49">
        <v>417.67</v>
      </c>
      <c r="K9" s="49">
        <v>417.67</v>
      </c>
      <c r="L9" s="49">
        <v>417.67</v>
      </c>
      <c r="M9" s="49">
        <v>417.67</v>
      </c>
      <c r="N9" s="49">
        <v>417.67</v>
      </c>
      <c r="O9" s="49">
        <v>417.67</v>
      </c>
      <c r="P9" s="49">
        <v>417.67</v>
      </c>
      <c r="Q9" s="49">
        <v>417.67</v>
      </c>
      <c r="R9" s="49">
        <v>417.67</v>
      </c>
    </row>
    <row r="10" spans="3:18" x14ac:dyDescent="0.25">
      <c r="C10" s="56" t="s">
        <v>69</v>
      </c>
      <c r="D10" s="25"/>
      <c r="E10" s="25"/>
      <c r="F10" s="47">
        <f t="shared" si="2"/>
        <v>0</v>
      </c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50"/>
    </row>
    <row r="11" spans="3:18" x14ac:dyDescent="0.25">
      <c r="C11" s="56" t="s">
        <v>203</v>
      </c>
      <c r="D11" s="25"/>
      <c r="E11" s="25"/>
      <c r="F11" s="47">
        <f t="shared" si="2"/>
        <v>0</v>
      </c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50"/>
    </row>
    <row r="12" spans="3:18" x14ac:dyDescent="0.25">
      <c r="C12" s="56"/>
      <c r="D12" s="25"/>
      <c r="E12" s="25"/>
      <c r="F12" s="47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</row>
    <row r="13" spans="3:18" x14ac:dyDescent="0.25">
      <c r="C13" s="56" t="s">
        <v>63</v>
      </c>
      <c r="D13" s="25"/>
      <c r="E13" s="25"/>
      <c r="F13" s="47">
        <f t="shared" si="2"/>
        <v>0</v>
      </c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</row>
    <row r="14" spans="3:18" x14ac:dyDescent="0.25">
      <c r="C14" s="56" t="s">
        <v>64</v>
      </c>
      <c r="D14" s="25"/>
      <c r="E14" s="25"/>
      <c r="F14" s="47">
        <f t="shared" si="2"/>
        <v>0</v>
      </c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50"/>
    </row>
    <row r="15" spans="3:18" x14ac:dyDescent="0.25">
      <c r="C15" s="56" t="s">
        <v>177</v>
      </c>
      <c r="D15" s="25"/>
      <c r="E15" s="25"/>
      <c r="F15" s="47">
        <f t="shared" si="2"/>
        <v>0</v>
      </c>
      <c r="G15" s="52"/>
      <c r="H15" s="49"/>
      <c r="I15" s="49"/>
      <c r="J15" s="52"/>
      <c r="K15" s="49"/>
      <c r="L15" s="52"/>
      <c r="M15" s="49"/>
      <c r="N15" s="52"/>
      <c r="O15" s="49"/>
      <c r="P15" s="52"/>
      <c r="Q15" s="49"/>
      <c r="R15" s="50"/>
    </row>
    <row r="16" spans="3:18" x14ac:dyDescent="0.25">
      <c r="C16" s="56" t="s">
        <v>66</v>
      </c>
      <c r="D16" s="25"/>
      <c r="E16" s="25"/>
      <c r="F16" s="47">
        <f t="shared" si="2"/>
        <v>0</v>
      </c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50"/>
    </row>
    <row r="17" spans="2:18" x14ac:dyDescent="0.25">
      <c r="B17" t="s">
        <v>83</v>
      </c>
      <c r="C17" s="56" t="s">
        <v>84</v>
      </c>
      <c r="D17" s="25"/>
      <c r="E17" s="25"/>
      <c r="F17" s="47">
        <f>SUM(G17:R17)</f>
        <v>0</v>
      </c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50"/>
    </row>
    <row r="18" spans="2:18" x14ac:dyDescent="0.25">
      <c r="C18" s="57"/>
    </row>
    <row r="19" spans="2:18" x14ac:dyDescent="0.25">
      <c r="C19" s="56" t="s">
        <v>67</v>
      </c>
      <c r="D19" s="25"/>
      <c r="E19" s="25"/>
      <c r="F19" s="47">
        <f>SUM(G19:R19)</f>
        <v>0</v>
      </c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</row>
    <row r="20" spans="2:18" x14ac:dyDescent="0.25">
      <c r="C20" s="56" t="s">
        <v>78</v>
      </c>
      <c r="D20" s="25"/>
      <c r="E20" s="25"/>
      <c r="F20" s="47">
        <f t="shared" si="2"/>
        <v>0</v>
      </c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50"/>
    </row>
    <row r="21" spans="2:18" x14ac:dyDescent="0.25">
      <c r="B21" t="s">
        <v>89</v>
      </c>
      <c r="C21" s="56" t="s">
        <v>88</v>
      </c>
      <c r="D21" s="25"/>
      <c r="E21" s="25"/>
      <c r="F21" s="47">
        <f t="shared" si="2"/>
        <v>0</v>
      </c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50"/>
    </row>
    <row r="22" spans="2:18" x14ac:dyDescent="0.25">
      <c r="C22" s="56" t="s">
        <v>91</v>
      </c>
      <c r="D22" s="25"/>
      <c r="E22" s="25"/>
      <c r="F22" s="47">
        <f t="shared" si="2"/>
        <v>0</v>
      </c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50"/>
    </row>
    <row r="23" spans="2:18" x14ac:dyDescent="0.25">
      <c r="C23" s="56"/>
      <c r="D23" s="25"/>
      <c r="E23" s="25"/>
      <c r="F23" s="4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6"/>
    </row>
    <row r="24" spans="2:18" hidden="1" x14ac:dyDescent="0.25">
      <c r="C24" s="31" t="s">
        <v>93</v>
      </c>
      <c r="D24" s="29"/>
      <c r="E24" s="29"/>
      <c r="F24" s="4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6"/>
    </row>
    <row r="25" spans="2:18" hidden="1" x14ac:dyDescent="0.25">
      <c r="C25" s="31" t="s">
        <v>95</v>
      </c>
      <c r="D25" s="29"/>
      <c r="E25" s="29"/>
      <c r="F25" s="4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6"/>
    </row>
    <row r="26" spans="2:18" hidden="1" x14ac:dyDescent="0.25">
      <c r="C26" s="31" t="s">
        <v>97</v>
      </c>
      <c r="D26" s="29"/>
      <c r="E26" s="29"/>
      <c r="F26" s="4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6"/>
    </row>
    <row r="27" spans="2:18" hidden="1" x14ac:dyDescent="0.25">
      <c r="C27" s="33" t="s">
        <v>99</v>
      </c>
      <c r="D27" s="34"/>
      <c r="E27" s="34"/>
      <c r="F27" s="46">
        <f t="shared" si="2"/>
        <v>0</v>
      </c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40"/>
    </row>
    <row r="30" spans="2:18" x14ac:dyDescent="0.25">
      <c r="C30" t="s">
        <v>204</v>
      </c>
      <c r="F30" s="58">
        <f>F3-F5</f>
        <v>21747.96</v>
      </c>
    </row>
  </sheetData>
  <mergeCells count="3">
    <mergeCell ref="G1:R1"/>
    <mergeCell ref="C3:E3"/>
    <mergeCell ref="C4:R4"/>
  </mergeCell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57CC9-624A-49EA-92F2-724FD204E029}">
  <sheetPr>
    <tabColor rgb="FF7030A0"/>
  </sheetPr>
  <dimension ref="A1:Q30"/>
  <sheetViews>
    <sheetView topLeftCell="B1" workbookViewId="0">
      <selection activeCell="K36" sqref="K36"/>
    </sheetView>
  </sheetViews>
  <sheetFormatPr defaultRowHeight="15" x14ac:dyDescent="0.25"/>
  <cols>
    <col min="1" max="1" width="6" bestFit="1" customWidth="1"/>
    <col min="2" max="2" width="24.85546875" customWidth="1"/>
    <col min="3" max="3" width="12.5703125" style="1" bestFit="1" customWidth="1"/>
    <col min="4" max="4" width="12.5703125" style="1" customWidth="1"/>
    <col min="5" max="5" width="12.5703125" style="42" customWidth="1"/>
    <col min="6" max="7" width="10.85546875" bestFit="1" customWidth="1"/>
    <col min="8" max="17" width="11.42578125" bestFit="1" customWidth="1"/>
  </cols>
  <sheetData>
    <row r="1" spans="2:17" x14ac:dyDescent="0.25">
      <c r="B1" s="75">
        <f>Summary!I5</f>
        <v>2021</v>
      </c>
      <c r="C1" s="24"/>
      <c r="D1" s="24"/>
      <c r="E1" s="41"/>
      <c r="F1" s="565" t="str">
        <f>"CHERRY CREST RENTAL " &amp; B1 &amp;" ONLY"</f>
        <v>CHERRY CREST RENTAL 2021 ONLY</v>
      </c>
      <c r="G1" s="565"/>
      <c r="H1" s="565"/>
      <c r="I1" s="565"/>
      <c r="J1" s="565"/>
      <c r="K1" s="565"/>
      <c r="L1" s="565"/>
      <c r="M1" s="565"/>
      <c r="N1" s="565"/>
      <c r="O1" s="565"/>
      <c r="P1" s="565"/>
      <c r="Q1" s="566"/>
    </row>
    <row r="2" spans="2:17" x14ac:dyDescent="0.25">
      <c r="B2" s="3"/>
      <c r="C2" s="3"/>
      <c r="D2" s="3"/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46</v>
      </c>
      <c r="K2" s="3" t="s">
        <v>47</v>
      </c>
      <c r="L2" s="3" t="s">
        <v>115</v>
      </c>
      <c r="M2" s="3" t="s">
        <v>49</v>
      </c>
      <c r="N2" s="3" t="s">
        <v>50</v>
      </c>
      <c r="O2" s="3" t="s">
        <v>51</v>
      </c>
      <c r="P2" s="3" t="s">
        <v>52</v>
      </c>
      <c r="Q2" s="15" t="s">
        <v>53</v>
      </c>
    </row>
    <row r="3" spans="2:17" x14ac:dyDescent="0.25">
      <c r="B3" s="567" t="s">
        <v>198</v>
      </c>
      <c r="C3" s="568"/>
      <c r="D3" s="568"/>
      <c r="E3" s="38">
        <v>26760</v>
      </c>
      <c r="F3" s="37">
        <f>$E$3/12</f>
        <v>2230</v>
      </c>
      <c r="G3" s="37">
        <f t="shared" ref="G3:Q3" si="0">$E$3/12</f>
        <v>2230</v>
      </c>
      <c r="H3" s="37">
        <f t="shared" si="0"/>
        <v>2230</v>
      </c>
      <c r="I3" s="37">
        <f t="shared" si="0"/>
        <v>2230</v>
      </c>
      <c r="J3" s="37">
        <f t="shared" si="0"/>
        <v>2230</v>
      </c>
      <c r="K3" s="37">
        <f t="shared" si="0"/>
        <v>2230</v>
      </c>
      <c r="L3" s="37">
        <f t="shared" si="0"/>
        <v>2230</v>
      </c>
      <c r="M3" s="37">
        <f t="shared" si="0"/>
        <v>2230</v>
      </c>
      <c r="N3" s="37">
        <f t="shared" si="0"/>
        <v>2230</v>
      </c>
      <c r="O3" s="37">
        <f t="shared" si="0"/>
        <v>2230</v>
      </c>
      <c r="P3" s="37">
        <f t="shared" si="0"/>
        <v>2230</v>
      </c>
      <c r="Q3" s="37">
        <f t="shared" si="0"/>
        <v>2230</v>
      </c>
    </row>
    <row r="4" spans="2:17" ht="12.75" customHeight="1" x14ac:dyDescent="0.25">
      <c r="B4" s="569"/>
      <c r="C4" s="570"/>
      <c r="D4" s="570"/>
      <c r="E4" s="570"/>
      <c r="F4" s="570"/>
      <c r="G4" s="570"/>
      <c r="H4" s="570"/>
      <c r="I4" s="570"/>
      <c r="J4" s="570"/>
      <c r="K4" s="570"/>
      <c r="L4" s="570"/>
      <c r="M4" s="570"/>
      <c r="N4" s="570"/>
      <c r="O4" s="570"/>
      <c r="P4" s="570"/>
      <c r="Q4" s="571"/>
    </row>
    <row r="5" spans="2:17" x14ac:dyDescent="0.25">
      <c r="B5" s="32" t="s">
        <v>199</v>
      </c>
      <c r="C5" s="28"/>
      <c r="D5" s="28"/>
      <c r="E5" s="47">
        <f>SUM(F5:Q5)</f>
        <v>5012.04</v>
      </c>
      <c r="F5" s="48">
        <f>SUM(F6:F22)</f>
        <v>417.67</v>
      </c>
      <c r="G5" s="48">
        <f t="shared" ref="G5:Q5" si="1">SUM(G6:G22)</f>
        <v>417.67</v>
      </c>
      <c r="H5" s="48">
        <f t="shared" si="1"/>
        <v>417.67</v>
      </c>
      <c r="I5" s="48">
        <f t="shared" si="1"/>
        <v>417.67</v>
      </c>
      <c r="J5" s="48">
        <f t="shared" si="1"/>
        <v>417.67</v>
      </c>
      <c r="K5" s="48">
        <f t="shared" si="1"/>
        <v>417.67</v>
      </c>
      <c r="L5" s="48">
        <f t="shared" si="1"/>
        <v>417.67</v>
      </c>
      <c r="M5" s="48">
        <f t="shared" si="1"/>
        <v>417.67</v>
      </c>
      <c r="N5" s="48">
        <f t="shared" si="1"/>
        <v>417.67</v>
      </c>
      <c r="O5" s="48">
        <f t="shared" si="1"/>
        <v>417.67</v>
      </c>
      <c r="P5" s="48">
        <f t="shared" si="1"/>
        <v>417.67</v>
      </c>
      <c r="Q5" s="48">
        <f t="shared" si="1"/>
        <v>417.67</v>
      </c>
    </row>
    <row r="6" spans="2:17" x14ac:dyDescent="0.25">
      <c r="B6" s="56" t="s">
        <v>200</v>
      </c>
      <c r="C6" s="25"/>
      <c r="D6" s="25"/>
      <c r="E6" s="47">
        <f t="shared" ref="E6:E27" si="2">SUM(F6:Q6)</f>
        <v>0</v>
      </c>
      <c r="F6" s="49">
        <v>0</v>
      </c>
      <c r="G6" s="49">
        <v>0</v>
      </c>
      <c r="H6" s="49">
        <v>0</v>
      </c>
      <c r="I6" s="49">
        <v>0</v>
      </c>
      <c r="J6" s="49">
        <v>0</v>
      </c>
      <c r="K6" s="49">
        <v>0</v>
      </c>
      <c r="L6" s="49">
        <v>0</v>
      </c>
      <c r="M6" s="49">
        <v>0</v>
      </c>
      <c r="N6" s="49">
        <v>0</v>
      </c>
      <c r="O6" s="49">
        <v>0</v>
      </c>
      <c r="P6" s="49">
        <v>0</v>
      </c>
      <c r="Q6" s="50">
        <v>0</v>
      </c>
    </row>
    <row r="7" spans="2:17" x14ac:dyDescent="0.25">
      <c r="B7" s="56" t="s">
        <v>201</v>
      </c>
      <c r="C7" s="25"/>
      <c r="D7" s="25"/>
      <c r="E7" s="47">
        <f t="shared" si="2"/>
        <v>0</v>
      </c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</row>
    <row r="8" spans="2:17" x14ac:dyDescent="0.25">
      <c r="B8" s="56" t="s">
        <v>68</v>
      </c>
      <c r="C8" s="25"/>
      <c r="D8" s="25"/>
      <c r="E8" s="47">
        <f t="shared" si="2"/>
        <v>0</v>
      </c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50"/>
    </row>
    <row r="9" spans="2:17" x14ac:dyDescent="0.25">
      <c r="B9" s="56" t="s">
        <v>202</v>
      </c>
      <c r="C9" s="25"/>
      <c r="D9" s="25"/>
      <c r="E9" s="47">
        <f t="shared" si="2"/>
        <v>5012.04</v>
      </c>
      <c r="F9" s="49">
        <v>417.67</v>
      </c>
      <c r="G9" s="49">
        <v>417.67</v>
      </c>
      <c r="H9" s="49">
        <v>417.67</v>
      </c>
      <c r="I9" s="49">
        <v>417.67</v>
      </c>
      <c r="J9" s="49">
        <v>417.67</v>
      </c>
      <c r="K9" s="49">
        <v>417.67</v>
      </c>
      <c r="L9" s="49">
        <v>417.67</v>
      </c>
      <c r="M9" s="49">
        <v>417.67</v>
      </c>
      <c r="N9" s="49">
        <v>417.67</v>
      </c>
      <c r="O9" s="49">
        <v>417.67</v>
      </c>
      <c r="P9" s="49">
        <v>417.67</v>
      </c>
      <c r="Q9" s="49">
        <v>417.67</v>
      </c>
    </row>
    <row r="10" spans="2:17" x14ac:dyDescent="0.25">
      <c r="B10" s="56" t="s">
        <v>69</v>
      </c>
      <c r="C10" s="25"/>
      <c r="D10" s="25"/>
      <c r="E10" s="47">
        <f t="shared" si="2"/>
        <v>0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50"/>
    </row>
    <row r="11" spans="2:17" x14ac:dyDescent="0.25">
      <c r="B11" s="56" t="s">
        <v>203</v>
      </c>
      <c r="C11" s="25"/>
      <c r="D11" s="25"/>
      <c r="E11" s="47">
        <f t="shared" si="2"/>
        <v>0</v>
      </c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50"/>
    </row>
    <row r="12" spans="2:17" x14ac:dyDescent="0.25">
      <c r="B12" s="56"/>
      <c r="C12" s="25"/>
      <c r="D12" s="25"/>
      <c r="E12" s="47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</row>
    <row r="13" spans="2:17" x14ac:dyDescent="0.25">
      <c r="B13" s="56" t="s">
        <v>63</v>
      </c>
      <c r="C13" s="25"/>
      <c r="D13" s="25"/>
      <c r="E13" s="47">
        <f t="shared" si="2"/>
        <v>0</v>
      </c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</row>
    <row r="14" spans="2:17" x14ac:dyDescent="0.25">
      <c r="B14" s="56" t="s">
        <v>64</v>
      </c>
      <c r="C14" s="25"/>
      <c r="D14" s="25"/>
      <c r="E14" s="47">
        <f t="shared" si="2"/>
        <v>0</v>
      </c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50"/>
    </row>
    <row r="15" spans="2:17" x14ac:dyDescent="0.25">
      <c r="B15" s="56" t="s">
        <v>177</v>
      </c>
      <c r="C15" s="25"/>
      <c r="D15" s="25"/>
      <c r="E15" s="47">
        <f t="shared" si="2"/>
        <v>0</v>
      </c>
      <c r="F15" s="52"/>
      <c r="G15" s="49"/>
      <c r="H15" s="49"/>
      <c r="I15" s="52"/>
      <c r="J15" s="49"/>
      <c r="K15" s="52"/>
      <c r="L15" s="49"/>
      <c r="M15" s="52"/>
      <c r="N15" s="49"/>
      <c r="O15" s="52"/>
      <c r="P15" s="49"/>
      <c r="Q15" s="50"/>
    </row>
    <row r="16" spans="2:17" x14ac:dyDescent="0.25">
      <c r="B16" s="56" t="s">
        <v>66</v>
      </c>
      <c r="C16" s="25"/>
      <c r="D16" s="25"/>
      <c r="E16" s="47">
        <f t="shared" si="2"/>
        <v>0</v>
      </c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50"/>
    </row>
    <row r="17" spans="1:17" x14ac:dyDescent="0.25">
      <c r="A17" t="s">
        <v>83</v>
      </c>
      <c r="B17" s="56" t="s">
        <v>84</v>
      </c>
      <c r="C17" s="25"/>
      <c r="D17" s="25"/>
      <c r="E17" s="47">
        <f>SUM(F17:Q17)</f>
        <v>0</v>
      </c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50"/>
    </row>
    <row r="18" spans="1:17" x14ac:dyDescent="0.25">
      <c r="B18" s="57"/>
    </row>
    <row r="19" spans="1:17" x14ac:dyDescent="0.25">
      <c r="B19" s="56" t="s">
        <v>67</v>
      </c>
      <c r="C19" s="25"/>
      <c r="D19" s="25"/>
      <c r="E19" s="47">
        <f>SUM(F19:Q19)</f>
        <v>0</v>
      </c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</row>
    <row r="20" spans="1:17" x14ac:dyDescent="0.25">
      <c r="B20" s="56" t="s">
        <v>78</v>
      </c>
      <c r="C20" s="25"/>
      <c r="D20" s="25"/>
      <c r="E20" s="47">
        <f t="shared" si="2"/>
        <v>0</v>
      </c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50"/>
    </row>
    <row r="21" spans="1:17" x14ac:dyDescent="0.25">
      <c r="A21" t="s">
        <v>89</v>
      </c>
      <c r="B21" s="56" t="s">
        <v>88</v>
      </c>
      <c r="C21" s="25"/>
      <c r="D21" s="25"/>
      <c r="E21" s="47">
        <f t="shared" si="2"/>
        <v>0</v>
      </c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50"/>
    </row>
    <row r="22" spans="1:17" x14ac:dyDescent="0.25">
      <c r="B22" s="56" t="s">
        <v>91</v>
      </c>
      <c r="C22" s="25"/>
      <c r="D22" s="25"/>
      <c r="E22" s="47">
        <f t="shared" si="2"/>
        <v>0</v>
      </c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50"/>
    </row>
    <row r="23" spans="1:17" x14ac:dyDescent="0.25">
      <c r="B23" s="56"/>
      <c r="C23" s="25"/>
      <c r="D23" s="25"/>
      <c r="E23" s="4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6"/>
    </row>
    <row r="24" spans="1:17" hidden="1" x14ac:dyDescent="0.25">
      <c r="B24" s="31" t="s">
        <v>93</v>
      </c>
      <c r="C24" s="29"/>
      <c r="D24" s="29"/>
      <c r="E24" s="4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6"/>
    </row>
    <row r="25" spans="1:17" hidden="1" x14ac:dyDescent="0.25">
      <c r="B25" s="31" t="s">
        <v>95</v>
      </c>
      <c r="C25" s="29"/>
      <c r="D25" s="29"/>
      <c r="E25" s="4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6"/>
    </row>
    <row r="26" spans="1:17" hidden="1" x14ac:dyDescent="0.25">
      <c r="B26" s="31" t="s">
        <v>97</v>
      </c>
      <c r="C26" s="29"/>
      <c r="D26" s="29"/>
      <c r="E26" s="4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6"/>
    </row>
    <row r="27" spans="1:17" hidden="1" x14ac:dyDescent="0.25">
      <c r="B27" s="33" t="s">
        <v>99</v>
      </c>
      <c r="C27" s="34"/>
      <c r="D27" s="34"/>
      <c r="E27" s="46">
        <f t="shared" si="2"/>
        <v>0</v>
      </c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40"/>
    </row>
    <row r="30" spans="1:17" x14ac:dyDescent="0.25">
      <c r="B30" t="s">
        <v>204</v>
      </c>
      <c r="E30" s="58">
        <f>E3-E5</f>
        <v>21747.96</v>
      </c>
    </row>
  </sheetData>
  <mergeCells count="3">
    <mergeCell ref="F1:Q1"/>
    <mergeCell ref="B3:D3"/>
    <mergeCell ref="B4:Q4"/>
  </mergeCell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44C4C-1E7B-43E0-8F47-2D0C52375DE8}">
  <sheetPr>
    <tabColor rgb="FF7030A0"/>
  </sheetPr>
  <dimension ref="A1:R32"/>
  <sheetViews>
    <sheetView workbookViewId="0">
      <selection activeCell="K36" sqref="K36"/>
    </sheetView>
  </sheetViews>
  <sheetFormatPr defaultRowHeight="15" x14ac:dyDescent="0.25"/>
  <cols>
    <col min="1" max="1" width="5.5703125" bestFit="1" customWidth="1"/>
    <col min="2" max="2" width="24.85546875" customWidth="1"/>
    <col min="3" max="3" width="6" bestFit="1" customWidth="1"/>
    <col min="4" max="4" width="12.5703125" style="1" bestFit="1" customWidth="1"/>
    <col min="5" max="5" width="12.5703125" style="1" customWidth="1"/>
    <col min="6" max="6" width="12.5703125" style="42" customWidth="1"/>
    <col min="7" max="7" width="11.5703125" bestFit="1" customWidth="1"/>
    <col min="8" max="8" width="11.42578125" bestFit="1" customWidth="1"/>
    <col min="9" max="18" width="12.5703125" bestFit="1" customWidth="1"/>
  </cols>
  <sheetData>
    <row r="1" spans="2:18" x14ac:dyDescent="0.25">
      <c r="B1" s="75">
        <f>Summary!J5</f>
        <v>2020</v>
      </c>
      <c r="C1" s="13"/>
      <c r="D1" s="24"/>
      <c r="E1" s="24"/>
      <c r="F1" s="41"/>
      <c r="G1" s="565" t="str">
        <f>"CHERRY CREST RENTAL " &amp; B1 &amp;" ONLY"</f>
        <v>CHERRY CREST RENTAL 2020 ONLY</v>
      </c>
      <c r="H1" s="565"/>
      <c r="I1" s="565"/>
      <c r="J1" s="565"/>
      <c r="K1" s="565"/>
      <c r="L1" s="565"/>
      <c r="M1" s="565"/>
      <c r="N1" s="565"/>
      <c r="O1" s="565"/>
      <c r="P1" s="565"/>
      <c r="Q1" s="565"/>
      <c r="R1" s="566"/>
    </row>
    <row r="2" spans="2:18" x14ac:dyDescent="0.25">
      <c r="B2" s="14"/>
      <c r="C2" s="2"/>
      <c r="D2" s="25"/>
      <c r="E2" s="25"/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115</v>
      </c>
      <c r="N2" s="3" t="s">
        <v>49</v>
      </c>
      <c r="O2" s="3" t="s">
        <v>50</v>
      </c>
      <c r="P2" s="3" t="s">
        <v>51</v>
      </c>
      <c r="Q2" s="3" t="s">
        <v>52</v>
      </c>
      <c r="R2" s="15" t="s">
        <v>53</v>
      </c>
    </row>
    <row r="3" spans="2:18" x14ac:dyDescent="0.25">
      <c r="B3" s="16" t="s">
        <v>205</v>
      </c>
      <c r="D3" s="26"/>
      <c r="E3" s="26"/>
      <c r="F3" s="65">
        <f t="shared" ref="F3:F29" si="0">SUM(G3:R3)</f>
        <v>0</v>
      </c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60"/>
    </row>
    <row r="4" spans="2:18" x14ac:dyDescent="0.25">
      <c r="B4" s="63"/>
      <c r="C4" s="2"/>
      <c r="D4" s="27"/>
      <c r="E4" s="27"/>
      <c r="F4" s="66" t="s">
        <v>58</v>
      </c>
      <c r="G4" s="61">
        <f>G3</f>
        <v>0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2"/>
    </row>
    <row r="5" spans="2:18" x14ac:dyDescent="0.25">
      <c r="B5" s="18" t="s">
        <v>199</v>
      </c>
      <c r="D5" s="28"/>
      <c r="E5" s="28"/>
      <c r="F5" s="43">
        <f>SUM(G5:R5)</f>
        <v>0</v>
      </c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43"/>
    </row>
    <row r="6" spans="2:18" x14ac:dyDescent="0.25">
      <c r="B6" s="22" t="s">
        <v>206</v>
      </c>
      <c r="C6" s="23">
        <v>0.17</v>
      </c>
      <c r="D6" s="25"/>
      <c r="E6" s="25"/>
      <c r="F6" s="43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17"/>
    </row>
    <row r="7" spans="2:18" hidden="1" x14ac:dyDescent="0.25">
      <c r="B7" s="14" t="s">
        <v>200</v>
      </c>
      <c r="D7" s="25"/>
      <c r="E7" s="25"/>
      <c r="F7" s="43">
        <f t="shared" si="0"/>
        <v>0</v>
      </c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53"/>
    </row>
    <row r="8" spans="2:18" x14ac:dyDescent="0.25">
      <c r="B8" s="14" t="s">
        <v>63</v>
      </c>
      <c r="D8" s="25"/>
      <c r="E8" s="25"/>
      <c r="F8" s="43">
        <f t="shared" si="0"/>
        <v>0</v>
      </c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53"/>
    </row>
    <row r="9" spans="2:18" x14ac:dyDescent="0.25">
      <c r="B9" s="14" t="s">
        <v>64</v>
      </c>
      <c r="D9" s="25"/>
      <c r="E9" s="25"/>
      <c r="F9" s="43">
        <f t="shared" si="0"/>
        <v>0</v>
      </c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53"/>
    </row>
    <row r="10" spans="2:18" x14ac:dyDescent="0.25">
      <c r="B10" s="14" t="s">
        <v>65</v>
      </c>
      <c r="D10" s="25"/>
      <c r="E10" s="25"/>
      <c r="F10" s="43">
        <f t="shared" si="0"/>
        <v>0</v>
      </c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53"/>
    </row>
    <row r="11" spans="2:18" x14ac:dyDescent="0.25">
      <c r="B11" s="14" t="s">
        <v>66</v>
      </c>
      <c r="D11" s="25"/>
      <c r="E11" s="25"/>
      <c r="F11" s="43">
        <f t="shared" si="0"/>
        <v>0</v>
      </c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53"/>
    </row>
    <row r="12" spans="2:18" x14ac:dyDescent="0.25">
      <c r="B12" s="14" t="s">
        <v>67</v>
      </c>
      <c r="D12" s="25"/>
      <c r="E12" s="25"/>
      <c r="F12" s="43">
        <f t="shared" si="0"/>
        <v>0</v>
      </c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</row>
    <row r="13" spans="2:18" x14ac:dyDescent="0.25">
      <c r="B13" s="14" t="s">
        <v>68</v>
      </c>
      <c r="D13" s="25"/>
      <c r="E13" s="25"/>
      <c r="F13" s="43">
        <f t="shared" si="0"/>
        <v>0</v>
      </c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53"/>
    </row>
    <row r="14" spans="2:18" x14ac:dyDescent="0.25">
      <c r="B14" s="14"/>
      <c r="D14" s="25"/>
      <c r="E14" s="25"/>
      <c r="F14" s="43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53"/>
    </row>
    <row r="15" spans="2:18" x14ac:dyDescent="0.25">
      <c r="B15" s="14" t="s">
        <v>201</v>
      </c>
      <c r="D15" s="25"/>
      <c r="E15" s="25"/>
      <c r="F15" s="43">
        <f>2072.25+2794.1+2860.9+3286.48</f>
        <v>11013.73</v>
      </c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53"/>
    </row>
    <row r="16" spans="2:18" x14ac:dyDescent="0.25">
      <c r="B16" s="14"/>
      <c r="D16" s="25"/>
      <c r="E16" s="25"/>
      <c r="F16" s="43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53"/>
    </row>
    <row r="17" spans="1:18" x14ac:dyDescent="0.25">
      <c r="B17" s="14" t="s">
        <v>78</v>
      </c>
      <c r="D17" s="25"/>
      <c r="E17" s="25"/>
      <c r="F17" s="43">
        <f t="shared" si="0"/>
        <v>0</v>
      </c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53"/>
    </row>
    <row r="18" spans="1:18" x14ac:dyDescent="0.25">
      <c r="B18" s="14" t="s">
        <v>79</v>
      </c>
      <c r="D18" s="25"/>
      <c r="E18" s="25"/>
      <c r="F18" s="43">
        <f>SUM(G18:R18)</f>
        <v>0</v>
      </c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53"/>
    </row>
    <row r="19" spans="1:18" x14ac:dyDescent="0.25">
      <c r="A19" t="s">
        <v>89</v>
      </c>
      <c r="B19" s="14" t="s">
        <v>88</v>
      </c>
      <c r="D19" s="25"/>
      <c r="E19" s="25"/>
      <c r="F19" s="43">
        <f t="shared" si="0"/>
        <v>0</v>
      </c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53"/>
    </row>
    <row r="20" spans="1:18" x14ac:dyDescent="0.25">
      <c r="B20" s="14" t="s">
        <v>90</v>
      </c>
      <c r="D20" s="25"/>
      <c r="E20" s="25"/>
      <c r="F20" s="43">
        <f t="shared" si="0"/>
        <v>0</v>
      </c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53"/>
    </row>
    <row r="21" spans="1:18" x14ac:dyDescent="0.25">
      <c r="B21" s="14"/>
      <c r="D21" s="25"/>
      <c r="E21" s="25"/>
      <c r="F21" s="43">
        <f t="shared" si="0"/>
        <v>0</v>
      </c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53"/>
    </row>
    <row r="22" spans="1:18" x14ac:dyDescent="0.25">
      <c r="B22" s="14" t="s">
        <v>93</v>
      </c>
      <c r="D22" s="25"/>
      <c r="E22" s="25"/>
      <c r="F22" s="43">
        <f t="shared" si="0"/>
        <v>0</v>
      </c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53"/>
    </row>
    <row r="23" spans="1:18" x14ac:dyDescent="0.25">
      <c r="B23" s="14" t="s">
        <v>95</v>
      </c>
      <c r="D23" s="25"/>
      <c r="E23" s="25"/>
      <c r="F23" s="43">
        <f t="shared" si="0"/>
        <v>0</v>
      </c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53"/>
    </row>
    <row r="24" spans="1:18" x14ac:dyDescent="0.25">
      <c r="B24" s="14" t="s">
        <v>97</v>
      </c>
      <c r="D24" s="25"/>
      <c r="E24" s="25"/>
      <c r="F24" s="43">
        <f t="shared" si="0"/>
        <v>0</v>
      </c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53"/>
    </row>
    <row r="25" spans="1:18" x14ac:dyDescent="0.25">
      <c r="B25" s="14" t="s">
        <v>99</v>
      </c>
      <c r="D25" s="25"/>
      <c r="E25" s="25"/>
      <c r="F25" s="43">
        <v>800</v>
      </c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53"/>
    </row>
    <row r="26" spans="1:18" x14ac:dyDescent="0.25">
      <c r="B26" s="14"/>
      <c r="C26" s="2"/>
      <c r="D26" s="25"/>
      <c r="E26" s="25"/>
      <c r="F26" s="43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53"/>
    </row>
    <row r="27" spans="1:18" x14ac:dyDescent="0.25">
      <c r="B27" s="14" t="s">
        <v>100</v>
      </c>
      <c r="D27" s="25"/>
      <c r="E27" s="25"/>
      <c r="F27" s="43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53"/>
    </row>
    <row r="28" spans="1:18" x14ac:dyDescent="0.25">
      <c r="B28" s="22" t="str">
        <f>B1&amp;" IRS rate"</f>
        <v>2020 IRS rate</v>
      </c>
      <c r="C28" s="23">
        <v>0.54500000000000004</v>
      </c>
      <c r="D28" s="25"/>
      <c r="E28" s="25"/>
      <c r="F28" s="43">
        <f t="shared" si="0"/>
        <v>0</v>
      </c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53"/>
    </row>
    <row r="29" spans="1:18" x14ac:dyDescent="0.25">
      <c r="B29" s="14"/>
      <c r="C29" s="2"/>
      <c r="D29" s="25"/>
      <c r="E29" s="25"/>
      <c r="F29" s="43">
        <f t="shared" si="0"/>
        <v>0</v>
      </c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53"/>
    </row>
    <row r="30" spans="1:18" x14ac:dyDescent="0.25">
      <c r="B30" s="20"/>
      <c r="C30" s="21"/>
      <c r="D30" s="30"/>
      <c r="E30" s="30"/>
      <c r="F30" s="43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5"/>
    </row>
    <row r="31" spans="1:18" x14ac:dyDescent="0.25">
      <c r="F31" s="43"/>
    </row>
    <row r="32" spans="1:18" x14ac:dyDescent="0.25">
      <c r="F32" s="44"/>
    </row>
  </sheetData>
  <mergeCells count="1">
    <mergeCell ref="G1:R1"/>
  </mergeCell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512BD-E0DF-4E57-A026-152D121FB63B}">
  <sheetPr>
    <tabColor rgb="FF7030A0"/>
  </sheetPr>
  <dimension ref="A1:V60"/>
  <sheetViews>
    <sheetView workbookViewId="0">
      <pane xSplit="22" ySplit="2" topLeftCell="W3" activePane="bottomRight" state="frozen"/>
      <selection pane="topRight" activeCell="N33" sqref="N33"/>
      <selection pane="bottomLeft" activeCell="N33" sqref="N33"/>
      <selection pane="bottomRight" activeCell="N33" sqref="N33"/>
    </sheetView>
  </sheetViews>
  <sheetFormatPr defaultRowHeight="15" x14ac:dyDescent="0.25"/>
  <cols>
    <col min="1" max="1" width="7" customWidth="1"/>
    <col min="2" max="2" width="24.85546875" customWidth="1"/>
    <col min="3" max="3" width="6" bestFit="1" customWidth="1"/>
    <col min="4" max="4" width="12.5703125" style="1" customWidth="1"/>
    <col min="5" max="5" width="12.5703125" style="42" customWidth="1"/>
    <col min="6" max="6" width="11.5703125" bestFit="1" customWidth="1"/>
    <col min="7" max="7" width="11.42578125" bestFit="1" customWidth="1"/>
    <col min="8" max="17" width="12.5703125" bestFit="1" customWidth="1"/>
    <col min="18" max="18" width="3.140625" customWidth="1"/>
    <col min="19" max="19" width="9.42578125" customWidth="1"/>
    <col min="20" max="20" width="10.5703125" bestFit="1" customWidth="1"/>
    <col min="22" max="22" width="19" customWidth="1"/>
  </cols>
  <sheetData>
    <row r="1" spans="2:22" x14ac:dyDescent="0.25">
      <c r="B1" s="75">
        <v>2019</v>
      </c>
      <c r="C1" s="13"/>
      <c r="D1" s="24"/>
      <c r="E1" s="41"/>
      <c r="F1" s="565" t="str">
        <f>"CHERRY CREST RENTAL " &amp; B1 &amp;" ONLY"</f>
        <v>CHERRY CREST RENTAL 2019 ONLY</v>
      </c>
      <c r="G1" s="565"/>
      <c r="H1" s="565"/>
      <c r="I1" s="565"/>
      <c r="J1" s="565"/>
      <c r="K1" s="565"/>
      <c r="L1" s="565"/>
      <c r="M1" s="565"/>
      <c r="N1" s="565"/>
      <c r="O1" s="565"/>
      <c r="P1" s="565"/>
      <c r="Q1" s="566"/>
    </row>
    <row r="2" spans="2:22" x14ac:dyDescent="0.25">
      <c r="B2" s="14"/>
      <c r="C2" s="2"/>
      <c r="D2" s="25"/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46</v>
      </c>
      <c r="K2" s="3" t="s">
        <v>47</v>
      </c>
      <c r="L2" s="3" t="s">
        <v>115</v>
      </c>
      <c r="M2" s="3" t="s">
        <v>49</v>
      </c>
      <c r="N2" s="3" t="s">
        <v>50</v>
      </c>
      <c r="O2" s="3" t="s">
        <v>51</v>
      </c>
      <c r="P2" s="3" t="s">
        <v>52</v>
      </c>
      <c r="Q2" s="15" t="s">
        <v>53</v>
      </c>
      <c r="S2" s="122" t="s">
        <v>54</v>
      </c>
      <c r="T2" s="123" t="s">
        <v>55</v>
      </c>
      <c r="U2" s="123" t="s">
        <v>56</v>
      </c>
      <c r="V2" s="123" t="s">
        <v>57</v>
      </c>
    </row>
    <row r="3" spans="2:22" x14ac:dyDescent="0.25">
      <c r="B3" s="16" t="s">
        <v>205</v>
      </c>
      <c r="D3" s="26"/>
      <c r="E3" s="65">
        <f t="shared" ref="E3:E29" si="0">SUM(F3:Q3)</f>
        <v>0</v>
      </c>
      <c r="F3" s="26">
        <v>0</v>
      </c>
      <c r="G3" s="26">
        <v>0</v>
      </c>
      <c r="H3" s="26">
        <v>0</v>
      </c>
      <c r="I3" s="26">
        <v>0</v>
      </c>
      <c r="J3" s="26">
        <v>0</v>
      </c>
      <c r="K3" s="26">
        <v>0</v>
      </c>
      <c r="L3" s="26">
        <v>0</v>
      </c>
      <c r="M3" s="26">
        <v>0</v>
      </c>
      <c r="N3" s="26">
        <v>0</v>
      </c>
      <c r="O3" s="26">
        <v>0</v>
      </c>
      <c r="P3" s="26">
        <v>0</v>
      </c>
      <c r="Q3" s="60">
        <v>0</v>
      </c>
      <c r="S3" s="114">
        <v>3032</v>
      </c>
      <c r="T3" s="115">
        <v>19</v>
      </c>
      <c r="U3" s="117" t="s">
        <v>146</v>
      </c>
      <c r="V3" s="117" t="s">
        <v>147</v>
      </c>
    </row>
    <row r="4" spans="2:22" x14ac:dyDescent="0.25">
      <c r="B4" s="63"/>
      <c r="C4" s="2"/>
      <c r="D4" s="27"/>
      <c r="E4" s="66" t="s">
        <v>58</v>
      </c>
      <c r="F4" s="25">
        <f>F3</f>
        <v>0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62"/>
      <c r="S4" s="114">
        <v>3033</v>
      </c>
      <c r="T4" s="115">
        <v>500</v>
      </c>
      <c r="U4" s="117" t="s">
        <v>146</v>
      </c>
      <c r="V4" s="117" t="s">
        <v>94</v>
      </c>
    </row>
    <row r="5" spans="2:22" x14ac:dyDescent="0.25">
      <c r="B5" s="18" t="s">
        <v>199</v>
      </c>
      <c r="D5" s="28"/>
      <c r="E5" s="43">
        <f>SUM(F5:Q5)</f>
        <v>35434.589999999997</v>
      </c>
      <c r="F5" s="99">
        <f t="shared" ref="F5:Q5" si="1">SUM(F8:F30)</f>
        <v>5092.1000000000004</v>
      </c>
      <c r="G5" s="99">
        <f t="shared" si="1"/>
        <v>417.67</v>
      </c>
      <c r="H5" s="99">
        <f t="shared" si="1"/>
        <v>2266.25</v>
      </c>
      <c r="I5" s="99">
        <f t="shared" si="1"/>
        <v>5511.67</v>
      </c>
      <c r="J5" s="99">
        <f t="shared" si="1"/>
        <v>2350.67</v>
      </c>
      <c r="K5" s="99">
        <f t="shared" si="1"/>
        <v>5233.7299999999996</v>
      </c>
      <c r="L5" s="99">
        <f t="shared" si="1"/>
        <v>1981.67</v>
      </c>
      <c r="M5" s="99">
        <f t="shared" si="1"/>
        <v>1668.67</v>
      </c>
      <c r="N5" s="99">
        <f t="shared" si="1"/>
        <v>717.67000000000007</v>
      </c>
      <c r="O5" s="99">
        <f t="shared" si="1"/>
        <v>417.67</v>
      </c>
      <c r="P5" s="99">
        <f t="shared" si="1"/>
        <v>417.67</v>
      </c>
      <c r="Q5" s="100">
        <f t="shared" si="1"/>
        <v>9359.15</v>
      </c>
      <c r="S5" s="114">
        <v>3034</v>
      </c>
      <c r="T5" s="115">
        <v>1269</v>
      </c>
      <c r="U5" s="117" t="s">
        <v>146</v>
      </c>
      <c r="V5" s="117" t="s">
        <v>148</v>
      </c>
    </row>
    <row r="6" spans="2:22" x14ac:dyDescent="0.25">
      <c r="B6" s="22" t="s">
        <v>206</v>
      </c>
      <c r="C6" s="23">
        <v>0.17</v>
      </c>
      <c r="D6" s="25"/>
      <c r="E6" s="4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17"/>
      <c r="S6" s="114">
        <v>3035</v>
      </c>
      <c r="T6" s="115">
        <v>1000</v>
      </c>
      <c r="U6" s="117" t="s">
        <v>146</v>
      </c>
      <c r="V6" s="117" t="s">
        <v>149</v>
      </c>
    </row>
    <row r="7" spans="2:22" hidden="1" x14ac:dyDescent="0.25">
      <c r="B7" s="14" t="s">
        <v>200</v>
      </c>
      <c r="D7" s="25"/>
      <c r="E7" s="43">
        <f t="shared" si="0"/>
        <v>0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53"/>
      <c r="S7" s="114">
        <v>3036</v>
      </c>
      <c r="T7" s="115"/>
      <c r="U7" s="117" t="s">
        <v>146</v>
      </c>
      <c r="V7" s="117" t="s">
        <v>149</v>
      </c>
    </row>
    <row r="8" spans="2:22" x14ac:dyDescent="0.25">
      <c r="B8" s="14" t="s">
        <v>63</v>
      </c>
      <c r="D8" s="25"/>
      <c r="E8" s="43">
        <f t="shared" si="0"/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53">
        <v>0</v>
      </c>
      <c r="S8" s="114">
        <v>3036</v>
      </c>
      <c r="T8" s="115">
        <v>500</v>
      </c>
      <c r="U8" s="117" t="s">
        <v>146</v>
      </c>
      <c r="V8" s="117" t="s">
        <v>149</v>
      </c>
    </row>
    <row r="9" spans="2:22" x14ac:dyDescent="0.25">
      <c r="B9" s="14" t="s">
        <v>64</v>
      </c>
      <c r="D9" s="25"/>
      <c r="E9" s="43">
        <f t="shared" si="0"/>
        <v>0</v>
      </c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0</v>
      </c>
      <c r="Q9" s="53">
        <v>0</v>
      </c>
      <c r="S9" s="114">
        <v>3577</v>
      </c>
      <c r="T9" s="115">
        <v>300</v>
      </c>
      <c r="U9" s="117" t="s">
        <v>146</v>
      </c>
      <c r="V9" s="117" t="s">
        <v>96</v>
      </c>
    </row>
    <row r="10" spans="2:22" x14ac:dyDescent="0.25">
      <c r="B10" s="14" t="s">
        <v>65</v>
      </c>
      <c r="D10" s="25"/>
      <c r="E10" s="43">
        <f t="shared" si="0"/>
        <v>0</v>
      </c>
      <c r="F10" s="35">
        <v>0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  <c r="N10" s="35">
        <v>0</v>
      </c>
      <c r="O10" s="35">
        <v>0</v>
      </c>
      <c r="P10" s="35">
        <v>0</v>
      </c>
      <c r="Q10" s="53">
        <v>0</v>
      </c>
      <c r="S10" s="114">
        <v>9910</v>
      </c>
      <c r="T10" s="115">
        <v>135</v>
      </c>
      <c r="U10" s="117" t="s">
        <v>146</v>
      </c>
      <c r="V10" s="117" t="s">
        <v>98</v>
      </c>
    </row>
    <row r="11" spans="2:22" x14ac:dyDescent="0.25">
      <c r="B11" s="14" t="s">
        <v>66</v>
      </c>
      <c r="D11" s="25"/>
      <c r="E11" s="43">
        <f t="shared" si="0"/>
        <v>0</v>
      </c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53"/>
      <c r="S11" s="114">
        <v>9911</v>
      </c>
      <c r="T11" s="115">
        <v>135</v>
      </c>
      <c r="U11" s="117" t="s">
        <v>146</v>
      </c>
      <c r="V11" s="117" t="s">
        <v>98</v>
      </c>
    </row>
    <row r="12" spans="2:22" x14ac:dyDescent="0.25">
      <c r="B12" s="14" t="s">
        <v>67</v>
      </c>
      <c r="D12" s="25"/>
      <c r="E12" s="43">
        <f t="shared" si="0"/>
        <v>0</v>
      </c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53"/>
      <c r="S12" s="113">
        <v>3011</v>
      </c>
      <c r="T12" s="121">
        <v>2000</v>
      </c>
      <c r="U12" s="118" t="s">
        <v>150</v>
      </c>
    </row>
    <row r="13" spans="2:22" x14ac:dyDescent="0.25">
      <c r="B13" s="14" t="s">
        <v>68</v>
      </c>
      <c r="D13" s="25"/>
      <c r="E13" s="43">
        <f t="shared" si="0"/>
        <v>0</v>
      </c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53"/>
      <c r="S13" s="113">
        <v>3578</v>
      </c>
      <c r="T13" s="121">
        <v>300</v>
      </c>
      <c r="U13" s="118" t="s">
        <v>150</v>
      </c>
    </row>
    <row r="14" spans="2:22" x14ac:dyDescent="0.25">
      <c r="B14" s="14" t="s">
        <v>207</v>
      </c>
      <c r="D14" s="25"/>
      <c r="E14" s="43">
        <f t="shared" si="0"/>
        <v>5012.04</v>
      </c>
      <c r="F14" s="49">
        <v>417.67</v>
      </c>
      <c r="G14" s="49">
        <v>417.67</v>
      </c>
      <c r="H14" s="49">
        <v>417.67</v>
      </c>
      <c r="I14" s="49">
        <v>417.67</v>
      </c>
      <c r="J14" s="49">
        <v>417.67</v>
      </c>
      <c r="K14" s="49">
        <v>417.67</v>
      </c>
      <c r="L14" s="49">
        <v>417.67</v>
      </c>
      <c r="M14" s="49">
        <v>417.67</v>
      </c>
      <c r="N14" s="49">
        <v>417.67</v>
      </c>
      <c r="O14" s="49">
        <v>417.67</v>
      </c>
      <c r="P14" s="49">
        <v>417.67</v>
      </c>
      <c r="Q14" s="101">
        <v>417.67</v>
      </c>
      <c r="S14" s="114">
        <v>3012</v>
      </c>
      <c r="T14" s="115">
        <v>1848.58</v>
      </c>
      <c r="U14" s="116">
        <v>44646</v>
      </c>
      <c r="V14" s="117" t="s">
        <v>152</v>
      </c>
    </row>
    <row r="15" spans="2:22" x14ac:dyDescent="0.25">
      <c r="B15" s="14" t="s">
        <v>201</v>
      </c>
      <c r="D15" s="25"/>
      <c r="E15" s="43">
        <f t="shared" si="0"/>
        <v>11013.73</v>
      </c>
      <c r="F15" s="35"/>
      <c r="G15" s="35"/>
      <c r="H15" s="35"/>
      <c r="I15" s="35"/>
      <c r="J15" s="35"/>
      <c r="K15" s="35">
        <v>2072.25</v>
      </c>
      <c r="L15" s="35"/>
      <c r="M15" s="35"/>
      <c r="N15" s="35"/>
      <c r="O15" s="35"/>
      <c r="P15" s="35"/>
      <c r="Q15" s="53">
        <f>2794.1+2860.9+3286.48</f>
        <v>8941.48</v>
      </c>
      <c r="S15" s="114">
        <v>3579</v>
      </c>
      <c r="T15" s="115">
        <v>300</v>
      </c>
      <c r="U15" s="116">
        <v>44625</v>
      </c>
      <c r="V15" s="117" t="s">
        <v>96</v>
      </c>
    </row>
    <row r="16" spans="2:22" x14ac:dyDescent="0.25">
      <c r="B16" s="14"/>
      <c r="D16" s="25"/>
      <c r="E16" s="43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53"/>
      <c r="S16" s="114">
        <v>9912</v>
      </c>
      <c r="T16" s="115">
        <v>135</v>
      </c>
      <c r="U16" s="116">
        <v>44621</v>
      </c>
      <c r="V16" s="117" t="s">
        <v>98</v>
      </c>
    </row>
    <row r="17" spans="1:22" x14ac:dyDescent="0.25">
      <c r="B17" s="14" t="s">
        <v>78</v>
      </c>
      <c r="D17" s="25"/>
      <c r="E17" s="43">
        <f t="shared" si="0"/>
        <v>0</v>
      </c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53"/>
      <c r="S17" s="114">
        <v>9913</v>
      </c>
      <c r="T17" s="115">
        <v>135</v>
      </c>
      <c r="U17" s="116">
        <v>44643</v>
      </c>
      <c r="V17" s="117" t="s">
        <v>98</v>
      </c>
    </row>
    <row r="18" spans="1:22" x14ac:dyDescent="0.25">
      <c r="B18" s="14" t="s">
        <v>79</v>
      </c>
      <c r="D18" s="25"/>
      <c r="E18" s="43">
        <f>SUM(F18:Q18)</f>
        <v>0</v>
      </c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53"/>
      <c r="S18" s="117">
        <v>3013</v>
      </c>
      <c r="T18" s="115">
        <v>694</v>
      </c>
      <c r="U18" s="116">
        <v>44654</v>
      </c>
      <c r="V18" s="117" t="s">
        <v>94</v>
      </c>
    </row>
    <row r="19" spans="1:22" x14ac:dyDescent="0.25">
      <c r="A19" t="s">
        <v>89</v>
      </c>
      <c r="B19" s="14" t="s">
        <v>88</v>
      </c>
      <c r="D19" s="25"/>
      <c r="E19" s="43">
        <f t="shared" si="0"/>
        <v>7148</v>
      </c>
      <c r="F19" s="35">
        <f>T4+T6+T8</f>
        <v>2000</v>
      </c>
      <c r="G19" s="35"/>
      <c r="H19" s="35"/>
      <c r="I19" s="35">
        <f>T18</f>
        <v>694</v>
      </c>
      <c r="J19" s="35"/>
      <c r="K19" s="35">
        <f>T31+T32+T33+T34</f>
        <v>1339</v>
      </c>
      <c r="L19" s="35">
        <f>T37+T38+T39</f>
        <v>1564</v>
      </c>
      <c r="M19" s="35">
        <f>T42+T43+T44+T45</f>
        <v>1251</v>
      </c>
      <c r="N19" s="35">
        <f>T48+T49</f>
        <v>300</v>
      </c>
      <c r="O19" s="35"/>
      <c r="P19" s="35"/>
      <c r="Q19" s="53"/>
      <c r="S19" s="114">
        <v>3014</v>
      </c>
      <c r="T19" s="115">
        <v>3100</v>
      </c>
      <c r="U19" s="116">
        <v>44669</v>
      </c>
      <c r="V19" s="117" t="s">
        <v>153</v>
      </c>
    </row>
    <row r="20" spans="1:22" x14ac:dyDescent="0.25">
      <c r="B20" s="14" t="s">
        <v>90</v>
      </c>
      <c r="D20" s="25"/>
      <c r="E20" s="43">
        <f t="shared" si="0"/>
        <v>0</v>
      </c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53"/>
      <c r="S20" s="114">
        <v>3037</v>
      </c>
      <c r="T20" s="115">
        <v>1000</v>
      </c>
      <c r="U20" s="116">
        <v>44656</v>
      </c>
      <c r="V20" s="117" t="s">
        <v>97</v>
      </c>
    </row>
    <row r="21" spans="1:22" x14ac:dyDescent="0.25">
      <c r="B21" s="14"/>
      <c r="D21" s="25"/>
      <c r="E21" s="43">
        <f t="shared" si="0"/>
        <v>0</v>
      </c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53"/>
      <c r="S21" s="114">
        <v>3038</v>
      </c>
      <c r="T21" s="115">
        <v>300</v>
      </c>
      <c r="U21" s="116">
        <v>44662</v>
      </c>
      <c r="V21" s="117" t="s">
        <v>154</v>
      </c>
    </row>
    <row r="22" spans="1:22" x14ac:dyDescent="0.25">
      <c r="B22" s="14" t="s">
        <v>93</v>
      </c>
      <c r="D22" s="25"/>
      <c r="E22" s="43">
        <f t="shared" si="0"/>
        <v>5604.8099999999995</v>
      </c>
      <c r="F22" s="35">
        <v>1100</v>
      </c>
      <c r="G22" s="35"/>
      <c r="H22" s="35"/>
      <c r="I22" s="35">
        <f>T19</f>
        <v>3100</v>
      </c>
      <c r="J22" s="35"/>
      <c r="K22" s="35">
        <v>1404.81</v>
      </c>
      <c r="L22" s="35"/>
      <c r="M22" s="35"/>
      <c r="N22" s="35"/>
      <c r="O22" s="35"/>
      <c r="P22" s="35"/>
      <c r="Q22" s="53"/>
      <c r="S22" s="114">
        <v>3580</v>
      </c>
      <c r="T22" s="115">
        <v>300</v>
      </c>
      <c r="U22" s="116">
        <v>44654</v>
      </c>
      <c r="V22" s="117" t="s">
        <v>96</v>
      </c>
    </row>
    <row r="23" spans="1:22" x14ac:dyDescent="0.25">
      <c r="B23" s="14" t="s">
        <v>95</v>
      </c>
      <c r="D23" s="25"/>
      <c r="E23" s="43">
        <f t="shared" si="0"/>
        <v>300</v>
      </c>
      <c r="F23" s="35"/>
      <c r="G23" s="35"/>
      <c r="H23" s="35"/>
      <c r="I23" s="35">
        <f>T21</f>
        <v>300</v>
      </c>
      <c r="J23" s="35"/>
      <c r="K23" s="35"/>
      <c r="L23" s="35"/>
      <c r="M23" s="35"/>
      <c r="N23" s="35"/>
      <c r="O23" s="35"/>
      <c r="P23" s="35"/>
      <c r="Q23" s="53"/>
      <c r="S23" s="114">
        <v>9914</v>
      </c>
      <c r="T23" s="115">
        <v>200</v>
      </c>
      <c r="U23" s="116">
        <v>44669</v>
      </c>
      <c r="V23" s="117" t="s">
        <v>98</v>
      </c>
    </row>
    <row r="24" spans="1:22" x14ac:dyDescent="0.25">
      <c r="B24" s="14" t="s">
        <v>97</v>
      </c>
      <c r="D24" s="25"/>
      <c r="E24" s="43">
        <f t="shared" si="0"/>
        <v>2574.4300000000003</v>
      </c>
      <c r="F24" s="35">
        <v>1574.43</v>
      </c>
      <c r="G24" s="35"/>
      <c r="H24" s="35"/>
      <c r="I24" s="35">
        <f>T20</f>
        <v>1000</v>
      </c>
      <c r="J24" s="35"/>
      <c r="K24" s="35"/>
      <c r="L24" s="35"/>
      <c r="M24" s="35"/>
      <c r="N24" s="35"/>
      <c r="O24" s="35"/>
      <c r="P24" s="35"/>
      <c r="Q24" s="53"/>
      <c r="S24" s="114">
        <v>3015</v>
      </c>
      <c r="T24" s="115">
        <v>200</v>
      </c>
      <c r="U24" s="116">
        <v>44683</v>
      </c>
      <c r="V24" s="117"/>
    </row>
    <row r="25" spans="1:22" x14ac:dyDescent="0.25">
      <c r="B25" s="14" t="s">
        <v>99</v>
      </c>
      <c r="D25" s="25"/>
      <c r="E25" s="43">
        <f t="shared" si="0"/>
        <v>1825</v>
      </c>
      <c r="F25" s="35"/>
      <c r="G25" s="35"/>
      <c r="H25" s="35"/>
      <c r="I25" s="35"/>
      <c r="J25" s="35">
        <f>Table13[[#This Row],[Amount]]+T26</f>
        <v>1825</v>
      </c>
      <c r="K25" s="35"/>
      <c r="L25" s="35"/>
      <c r="M25" s="35"/>
      <c r="N25" s="35"/>
      <c r="O25" s="35"/>
      <c r="P25" s="35"/>
      <c r="Q25" s="53"/>
      <c r="S25" s="114">
        <v>3017</v>
      </c>
      <c r="T25" s="115">
        <v>900</v>
      </c>
      <c r="U25" s="116">
        <v>44688</v>
      </c>
      <c r="V25" s="117" t="s">
        <v>156</v>
      </c>
    </row>
    <row r="26" spans="1:22" x14ac:dyDescent="0.25">
      <c r="B26" s="14" t="s">
        <v>152</v>
      </c>
      <c r="C26" s="2"/>
      <c r="D26" s="25"/>
      <c r="E26" s="43"/>
      <c r="F26" s="35"/>
      <c r="G26" s="35"/>
      <c r="H26" s="35">
        <f>T14</f>
        <v>1848.58</v>
      </c>
      <c r="I26" s="35"/>
      <c r="J26" s="35">
        <f>T27</f>
        <v>108</v>
      </c>
      <c r="K26" s="35"/>
      <c r="L26" s="35"/>
      <c r="M26" s="35"/>
      <c r="N26" s="35"/>
      <c r="O26" s="35"/>
      <c r="P26" s="35"/>
      <c r="Q26" s="53"/>
      <c r="S26" s="114">
        <v>3018</v>
      </c>
      <c r="T26" s="115">
        <v>925</v>
      </c>
      <c r="U26" s="116">
        <v>44688</v>
      </c>
      <c r="V26" s="117" t="s">
        <v>156</v>
      </c>
    </row>
    <row r="27" spans="1:22" x14ac:dyDescent="0.25">
      <c r="B27" s="14" t="s">
        <v>100</v>
      </c>
      <c r="D27" s="25"/>
      <c r="E27" s="43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53"/>
      <c r="S27" s="114">
        <v>3039</v>
      </c>
      <c r="T27" s="115">
        <v>108</v>
      </c>
      <c r="U27" s="116">
        <v>44712</v>
      </c>
      <c r="V27" s="117" t="s">
        <v>152</v>
      </c>
    </row>
    <row r="28" spans="1:22" x14ac:dyDescent="0.25">
      <c r="B28" s="22" t="s">
        <v>208</v>
      </c>
      <c r="C28" s="23">
        <v>0.54500000000000004</v>
      </c>
      <c r="D28" s="25"/>
      <c r="E28" s="43">
        <f t="shared" si="0"/>
        <v>0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53"/>
      <c r="S28" s="114">
        <v>3581</v>
      </c>
      <c r="T28" s="115">
        <v>300</v>
      </c>
      <c r="U28" s="116">
        <v>44684</v>
      </c>
      <c r="V28" s="117" t="s">
        <v>96</v>
      </c>
    </row>
    <row r="29" spans="1:22" x14ac:dyDescent="0.25">
      <c r="B29" s="14"/>
      <c r="C29" s="2"/>
      <c r="D29" s="25"/>
      <c r="E29" s="43">
        <f t="shared" si="0"/>
        <v>0</v>
      </c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53"/>
      <c r="S29" s="114">
        <v>9915</v>
      </c>
      <c r="T29" s="115">
        <v>200</v>
      </c>
      <c r="U29" s="116">
        <v>44699</v>
      </c>
      <c r="V29" s="117" t="s">
        <v>98</v>
      </c>
    </row>
    <row r="30" spans="1:22" x14ac:dyDescent="0.25">
      <c r="B30" s="20"/>
      <c r="C30" s="21"/>
      <c r="D30" s="30"/>
      <c r="E30" s="102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5"/>
      <c r="S30" s="114">
        <v>3019</v>
      </c>
      <c r="T30" s="115">
        <v>2072.25</v>
      </c>
      <c r="U30" s="116">
        <v>44733</v>
      </c>
      <c r="V30" s="117" t="s">
        <v>157</v>
      </c>
    </row>
    <row r="31" spans="1:22" x14ac:dyDescent="0.25">
      <c r="E31" s="64"/>
      <c r="S31" s="114">
        <v>3020</v>
      </c>
      <c r="T31" s="115">
        <v>206</v>
      </c>
      <c r="U31" s="116">
        <v>44732</v>
      </c>
      <c r="V31" s="117" t="s">
        <v>94</v>
      </c>
    </row>
    <row r="32" spans="1:22" x14ac:dyDescent="0.25">
      <c r="E32" s="64"/>
      <c r="S32" s="114">
        <v>3040</v>
      </c>
      <c r="T32" s="115">
        <v>400</v>
      </c>
      <c r="U32" s="116">
        <v>44716</v>
      </c>
      <c r="V32" s="117" t="s">
        <v>94</v>
      </c>
    </row>
    <row r="33" spans="19:22" x14ac:dyDescent="0.25">
      <c r="S33" s="114">
        <v>3041</v>
      </c>
      <c r="T33" s="115">
        <v>433</v>
      </c>
      <c r="U33" s="116">
        <v>44718</v>
      </c>
      <c r="V33" s="117" t="s">
        <v>94</v>
      </c>
    </row>
    <row r="34" spans="19:22" x14ac:dyDescent="0.25">
      <c r="S34" s="114">
        <v>3042</v>
      </c>
      <c r="T34" s="115">
        <v>300</v>
      </c>
      <c r="U34" s="116">
        <v>44723</v>
      </c>
      <c r="V34" s="117" t="s">
        <v>94</v>
      </c>
    </row>
    <row r="35" spans="19:22" x14ac:dyDescent="0.25">
      <c r="S35" s="114">
        <v>3582</v>
      </c>
      <c r="T35" s="115">
        <v>300</v>
      </c>
      <c r="U35" s="116">
        <v>44716</v>
      </c>
      <c r="V35" s="117" t="s">
        <v>96</v>
      </c>
    </row>
    <row r="36" spans="19:22" x14ac:dyDescent="0.25">
      <c r="S36" s="114">
        <v>9916</v>
      </c>
      <c r="T36" s="115">
        <v>200</v>
      </c>
      <c r="U36" s="116">
        <v>44731</v>
      </c>
      <c r="V36" s="117" t="s">
        <v>98</v>
      </c>
    </row>
    <row r="37" spans="19:22" x14ac:dyDescent="0.25">
      <c r="S37" s="114">
        <v>3021</v>
      </c>
      <c r="T37" s="115">
        <v>435</v>
      </c>
      <c r="U37" s="116">
        <v>44761</v>
      </c>
      <c r="V37" s="117" t="s">
        <v>94</v>
      </c>
    </row>
    <row r="38" spans="19:22" x14ac:dyDescent="0.25">
      <c r="S38" s="114">
        <v>3043</v>
      </c>
      <c r="T38" s="115">
        <v>799</v>
      </c>
      <c r="U38" s="116">
        <v>44745</v>
      </c>
      <c r="V38" s="117" t="s">
        <v>94</v>
      </c>
    </row>
    <row r="39" spans="19:22" x14ac:dyDescent="0.25">
      <c r="S39" s="114">
        <v>3044</v>
      </c>
      <c r="T39" s="115">
        <v>330</v>
      </c>
      <c r="U39" s="116">
        <v>44766</v>
      </c>
      <c r="V39" s="117" t="s">
        <v>94</v>
      </c>
    </row>
    <row r="40" spans="19:22" x14ac:dyDescent="0.25">
      <c r="S40" s="114">
        <v>3583</v>
      </c>
      <c r="T40" s="115">
        <v>300</v>
      </c>
      <c r="U40" s="116">
        <v>44745</v>
      </c>
      <c r="V40" s="117" t="s">
        <v>96</v>
      </c>
    </row>
    <row r="41" spans="19:22" x14ac:dyDescent="0.25">
      <c r="S41" s="114">
        <v>9917</v>
      </c>
      <c r="T41" s="115">
        <v>200</v>
      </c>
      <c r="U41" s="116">
        <v>44760</v>
      </c>
      <c r="V41" s="117" t="s">
        <v>98</v>
      </c>
    </row>
    <row r="42" spans="19:22" x14ac:dyDescent="0.25">
      <c r="S42" s="114">
        <v>3022</v>
      </c>
      <c r="T42" s="115">
        <v>570</v>
      </c>
      <c r="U42" s="116">
        <v>44779</v>
      </c>
      <c r="V42" s="117" t="s">
        <v>94</v>
      </c>
    </row>
    <row r="43" spans="19:22" x14ac:dyDescent="0.25">
      <c r="S43" s="114">
        <v>3023</v>
      </c>
      <c r="T43" s="115">
        <v>350</v>
      </c>
      <c r="U43" s="116">
        <v>44779</v>
      </c>
      <c r="V43" s="117" t="s">
        <v>94</v>
      </c>
    </row>
    <row r="44" spans="19:22" x14ac:dyDescent="0.25">
      <c r="S44" s="114">
        <v>3024</v>
      </c>
      <c r="T44" s="115">
        <v>151</v>
      </c>
      <c r="U44" s="116">
        <v>44794</v>
      </c>
      <c r="V44" s="117" t="s">
        <v>94</v>
      </c>
    </row>
    <row r="45" spans="19:22" x14ac:dyDescent="0.25">
      <c r="S45" s="114">
        <v>3025</v>
      </c>
      <c r="T45" s="115">
        <v>180</v>
      </c>
      <c r="U45" s="116">
        <v>44794</v>
      </c>
      <c r="V45" s="117" t="s">
        <v>94</v>
      </c>
    </row>
    <row r="46" spans="19:22" x14ac:dyDescent="0.25">
      <c r="S46" s="114">
        <v>3584</v>
      </c>
      <c r="T46" s="115">
        <v>300</v>
      </c>
      <c r="U46" s="116">
        <v>44776</v>
      </c>
      <c r="V46" s="117" t="s">
        <v>96</v>
      </c>
    </row>
    <row r="47" spans="19:22" x14ac:dyDescent="0.25">
      <c r="S47" s="114">
        <v>9918</v>
      </c>
      <c r="T47" s="115">
        <v>200</v>
      </c>
      <c r="U47" s="116">
        <v>44793</v>
      </c>
      <c r="V47" s="117" t="s">
        <v>98</v>
      </c>
    </row>
    <row r="48" spans="19:22" x14ac:dyDescent="0.25">
      <c r="S48" s="114">
        <v>3045</v>
      </c>
      <c r="T48" s="115">
        <v>135</v>
      </c>
      <c r="U48" s="116">
        <v>44814</v>
      </c>
      <c r="V48" s="117" t="s">
        <v>94</v>
      </c>
    </row>
    <row r="49" spans="19:22" x14ac:dyDescent="0.25">
      <c r="S49" s="114">
        <v>3046</v>
      </c>
      <c r="T49" s="115">
        <v>165</v>
      </c>
      <c r="U49" s="116">
        <v>44814</v>
      </c>
      <c r="V49" s="117" t="s">
        <v>94</v>
      </c>
    </row>
    <row r="50" spans="19:22" x14ac:dyDescent="0.25">
      <c r="S50" s="114">
        <v>3583</v>
      </c>
      <c r="T50" s="115">
        <v>300</v>
      </c>
      <c r="U50" s="116">
        <v>44808</v>
      </c>
      <c r="V50" s="117" t="s">
        <v>96</v>
      </c>
    </row>
    <row r="51" spans="19:22" x14ac:dyDescent="0.25">
      <c r="S51" s="114">
        <v>9919</v>
      </c>
      <c r="T51" s="115">
        <v>200</v>
      </c>
      <c r="U51" s="116">
        <v>44822</v>
      </c>
      <c r="V51" s="117" t="s">
        <v>98</v>
      </c>
    </row>
    <row r="52" spans="19:22" x14ac:dyDescent="0.25">
      <c r="S52" s="114">
        <v>3586</v>
      </c>
      <c r="T52" s="115">
        <v>300</v>
      </c>
      <c r="U52" s="116">
        <v>44838</v>
      </c>
      <c r="V52" s="117" t="s">
        <v>96</v>
      </c>
    </row>
    <row r="53" spans="19:22" x14ac:dyDescent="0.25">
      <c r="S53" s="114">
        <v>9920</v>
      </c>
      <c r="T53" s="115">
        <v>200</v>
      </c>
      <c r="U53" s="116">
        <v>44852</v>
      </c>
      <c r="V53" s="117" t="s">
        <v>98</v>
      </c>
    </row>
    <row r="54" spans="19:22" x14ac:dyDescent="0.25">
      <c r="S54" s="114">
        <v>101</v>
      </c>
      <c r="T54" s="115">
        <v>80</v>
      </c>
      <c r="U54" s="116">
        <v>44879</v>
      </c>
      <c r="V54" s="117" t="s">
        <v>109</v>
      </c>
    </row>
    <row r="55" spans="19:22" x14ac:dyDescent="0.25">
      <c r="S55" s="114">
        <v>1004</v>
      </c>
      <c r="T55" s="115">
        <v>6000</v>
      </c>
      <c r="U55" s="116">
        <v>44890</v>
      </c>
      <c r="V55" s="117" t="s">
        <v>111</v>
      </c>
    </row>
    <row r="56" spans="19:22" x14ac:dyDescent="0.25">
      <c r="S56" s="114">
        <v>3587</v>
      </c>
      <c r="T56" s="115">
        <v>238.18</v>
      </c>
      <c r="U56" s="116">
        <v>44870</v>
      </c>
      <c r="V56" s="117" t="s">
        <v>96</v>
      </c>
    </row>
    <row r="57" spans="19:22" x14ac:dyDescent="0.25">
      <c r="S57" s="114">
        <v>9921</v>
      </c>
      <c r="T57" s="115">
        <v>200</v>
      </c>
      <c r="U57" s="116">
        <v>44885</v>
      </c>
      <c r="V57" s="117" t="s">
        <v>98</v>
      </c>
    </row>
    <row r="58" spans="19:22" x14ac:dyDescent="0.25">
      <c r="S58" s="114">
        <v>103</v>
      </c>
      <c r="T58" s="115">
        <v>1230.57</v>
      </c>
      <c r="U58" s="116">
        <v>44898</v>
      </c>
      <c r="V58" s="117" t="s">
        <v>109</v>
      </c>
    </row>
    <row r="59" spans="19:22" x14ac:dyDescent="0.25">
      <c r="S59" s="114">
        <v>3047</v>
      </c>
      <c r="T59" s="115">
        <v>1449.68</v>
      </c>
      <c r="U59" s="116">
        <v>44913</v>
      </c>
      <c r="V59" s="117" t="s">
        <v>109</v>
      </c>
    </row>
    <row r="60" spans="19:22" x14ac:dyDescent="0.25">
      <c r="S60" s="124">
        <v>9922</v>
      </c>
      <c r="T60" s="125">
        <v>200</v>
      </c>
      <c r="U60" s="126">
        <v>44913</v>
      </c>
      <c r="V60" s="127" t="s">
        <v>98</v>
      </c>
    </row>
  </sheetData>
  <mergeCells count="1">
    <mergeCell ref="F1:Q1"/>
  </mergeCells>
  <pageMargins left="0.7" right="0.7" top="0.75" bottom="0.75" header="0.3" footer="0.3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0FB58-4036-4FA6-AB87-5F78DDAD27B7}">
  <sheetPr>
    <tabColor rgb="FF7030A0"/>
  </sheetPr>
  <dimension ref="A1:V60"/>
  <sheetViews>
    <sheetView workbookViewId="0">
      <pane xSplit="17" ySplit="2" topLeftCell="R3" activePane="bottomRight" state="frozen"/>
      <selection pane="topRight" activeCell="K36" sqref="K36"/>
      <selection pane="bottomLeft" activeCell="K36" sqref="K36"/>
      <selection pane="bottomRight" activeCell="K36" sqref="K36"/>
    </sheetView>
  </sheetViews>
  <sheetFormatPr defaultRowHeight="15" x14ac:dyDescent="0.25"/>
  <cols>
    <col min="1" max="1" width="7" customWidth="1"/>
    <col min="2" max="2" width="24.85546875" customWidth="1"/>
    <col min="3" max="3" width="6" bestFit="1" customWidth="1"/>
    <col min="4" max="4" width="12.5703125" style="1" customWidth="1"/>
    <col min="5" max="5" width="12.5703125" style="42" customWidth="1"/>
    <col min="6" max="6" width="11.5703125" bestFit="1" customWidth="1"/>
    <col min="7" max="7" width="11.42578125" bestFit="1" customWidth="1"/>
    <col min="8" max="17" width="12.5703125" bestFit="1" customWidth="1"/>
    <col min="18" max="18" width="3.140625" customWidth="1"/>
    <col min="19" max="19" width="9.42578125" customWidth="1"/>
    <col min="20" max="20" width="10.5703125" bestFit="1" customWidth="1"/>
    <col min="22" max="22" width="19" customWidth="1"/>
  </cols>
  <sheetData>
    <row r="1" spans="2:22" x14ac:dyDescent="0.25">
      <c r="B1" s="75">
        <f>Summary!L5</f>
        <v>2018</v>
      </c>
      <c r="C1" s="13"/>
      <c r="D1" s="24"/>
      <c r="E1" s="41"/>
      <c r="F1" s="565" t="str">
        <f>"CHERRY CREST RENTAL " &amp; B1 &amp;" ONLY"</f>
        <v>CHERRY CREST RENTAL 2018 ONLY</v>
      </c>
      <c r="G1" s="565"/>
      <c r="H1" s="565"/>
      <c r="I1" s="565"/>
      <c r="J1" s="565"/>
      <c r="K1" s="565"/>
      <c r="L1" s="565"/>
      <c r="M1" s="565"/>
      <c r="N1" s="565"/>
      <c r="O1" s="565"/>
      <c r="P1" s="565"/>
      <c r="Q1" s="566"/>
    </row>
    <row r="2" spans="2:22" x14ac:dyDescent="0.25">
      <c r="B2" s="14"/>
      <c r="C2" s="2"/>
      <c r="D2" s="25"/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46</v>
      </c>
      <c r="K2" s="3" t="s">
        <v>47</v>
      </c>
      <c r="L2" s="3" t="s">
        <v>115</v>
      </c>
      <c r="M2" s="3" t="s">
        <v>49</v>
      </c>
      <c r="N2" s="3" t="s">
        <v>50</v>
      </c>
      <c r="O2" s="3" t="s">
        <v>51</v>
      </c>
      <c r="P2" s="3" t="s">
        <v>52</v>
      </c>
      <c r="Q2" s="15" t="s">
        <v>53</v>
      </c>
      <c r="S2" s="122" t="s">
        <v>54</v>
      </c>
      <c r="T2" s="123" t="s">
        <v>55</v>
      </c>
      <c r="U2" s="123" t="s">
        <v>56</v>
      </c>
      <c r="V2" s="123" t="s">
        <v>57</v>
      </c>
    </row>
    <row r="3" spans="2:22" x14ac:dyDescent="0.25">
      <c r="B3" s="16" t="s">
        <v>205</v>
      </c>
      <c r="D3" s="26"/>
      <c r="E3" s="65">
        <f t="shared" ref="E3:E29" si="0">SUM(F3:Q3)</f>
        <v>0</v>
      </c>
      <c r="F3" s="26">
        <v>0</v>
      </c>
      <c r="G3" s="26">
        <v>0</v>
      </c>
      <c r="H3" s="26">
        <v>0</v>
      </c>
      <c r="I3" s="26">
        <v>0</v>
      </c>
      <c r="J3" s="26">
        <v>0</v>
      </c>
      <c r="K3" s="26">
        <v>0</v>
      </c>
      <c r="L3" s="26">
        <v>0</v>
      </c>
      <c r="M3" s="26">
        <v>0</v>
      </c>
      <c r="N3" s="26">
        <v>0</v>
      </c>
      <c r="O3" s="26">
        <v>0</v>
      </c>
      <c r="P3" s="26">
        <v>0</v>
      </c>
      <c r="Q3" s="60">
        <v>0</v>
      </c>
      <c r="S3" s="114">
        <v>3032</v>
      </c>
      <c r="T3" s="115">
        <v>19</v>
      </c>
      <c r="U3" s="117" t="s">
        <v>146</v>
      </c>
      <c r="V3" s="117" t="s">
        <v>147</v>
      </c>
    </row>
    <row r="4" spans="2:22" x14ac:dyDescent="0.25">
      <c r="B4" s="63"/>
      <c r="C4" s="2"/>
      <c r="D4" s="27"/>
      <c r="E4" s="66" t="s">
        <v>58</v>
      </c>
      <c r="F4" s="25">
        <f>F3</f>
        <v>0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62"/>
      <c r="S4" s="114">
        <v>3033</v>
      </c>
      <c r="T4" s="115">
        <v>500</v>
      </c>
      <c r="U4" s="117" t="s">
        <v>146</v>
      </c>
      <c r="V4" s="117" t="s">
        <v>94</v>
      </c>
    </row>
    <row r="5" spans="2:22" x14ac:dyDescent="0.25">
      <c r="B5" s="18" t="s">
        <v>199</v>
      </c>
      <c r="D5" s="28"/>
      <c r="E5" s="43">
        <f>SUM(F5:Q5)</f>
        <v>35434.589999999997</v>
      </c>
      <c r="F5" s="99">
        <f t="shared" ref="F5:Q5" si="1">SUM(F8:F30)</f>
        <v>5092.1000000000004</v>
      </c>
      <c r="G5" s="99">
        <f t="shared" si="1"/>
        <v>417.67</v>
      </c>
      <c r="H5" s="99">
        <f t="shared" si="1"/>
        <v>2266.25</v>
      </c>
      <c r="I5" s="99">
        <f t="shared" si="1"/>
        <v>5511.67</v>
      </c>
      <c r="J5" s="99">
        <f t="shared" si="1"/>
        <v>2350.67</v>
      </c>
      <c r="K5" s="99">
        <f t="shared" si="1"/>
        <v>5233.7299999999996</v>
      </c>
      <c r="L5" s="99">
        <f t="shared" si="1"/>
        <v>1981.67</v>
      </c>
      <c r="M5" s="99">
        <f t="shared" si="1"/>
        <v>1668.67</v>
      </c>
      <c r="N5" s="99">
        <f t="shared" si="1"/>
        <v>717.67000000000007</v>
      </c>
      <c r="O5" s="99">
        <f t="shared" si="1"/>
        <v>417.67</v>
      </c>
      <c r="P5" s="99">
        <f t="shared" si="1"/>
        <v>417.67</v>
      </c>
      <c r="Q5" s="100">
        <f t="shared" si="1"/>
        <v>9359.15</v>
      </c>
      <c r="S5" s="114">
        <v>3034</v>
      </c>
      <c r="T5" s="115">
        <v>1269</v>
      </c>
      <c r="U5" s="117" t="s">
        <v>146</v>
      </c>
      <c r="V5" s="117" t="s">
        <v>148</v>
      </c>
    </row>
    <row r="6" spans="2:22" x14ac:dyDescent="0.25">
      <c r="B6" s="22" t="s">
        <v>206</v>
      </c>
      <c r="C6" s="23">
        <v>0.17</v>
      </c>
      <c r="D6" s="25"/>
      <c r="E6" s="4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17"/>
      <c r="S6" s="114">
        <v>3035</v>
      </c>
      <c r="T6" s="115">
        <v>1000</v>
      </c>
      <c r="U6" s="117" t="s">
        <v>146</v>
      </c>
      <c r="V6" s="117" t="s">
        <v>149</v>
      </c>
    </row>
    <row r="7" spans="2:22" hidden="1" x14ac:dyDescent="0.25">
      <c r="B7" s="14" t="s">
        <v>200</v>
      </c>
      <c r="D7" s="25"/>
      <c r="E7" s="43">
        <f t="shared" si="0"/>
        <v>0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53"/>
      <c r="S7" s="114">
        <v>3036</v>
      </c>
      <c r="T7" s="115"/>
      <c r="U7" s="117" t="s">
        <v>146</v>
      </c>
      <c r="V7" s="117" t="s">
        <v>149</v>
      </c>
    </row>
    <row r="8" spans="2:22" x14ac:dyDescent="0.25">
      <c r="B8" s="14" t="s">
        <v>63</v>
      </c>
      <c r="D8" s="25"/>
      <c r="E8" s="43">
        <f t="shared" si="0"/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53">
        <v>0</v>
      </c>
      <c r="S8" s="114">
        <v>3036</v>
      </c>
      <c r="T8" s="115">
        <v>500</v>
      </c>
      <c r="U8" s="117" t="s">
        <v>146</v>
      </c>
      <c r="V8" s="117" t="s">
        <v>149</v>
      </c>
    </row>
    <row r="9" spans="2:22" x14ac:dyDescent="0.25">
      <c r="B9" s="14" t="s">
        <v>64</v>
      </c>
      <c r="D9" s="25"/>
      <c r="E9" s="43">
        <f t="shared" si="0"/>
        <v>0</v>
      </c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0</v>
      </c>
      <c r="Q9" s="53">
        <v>0</v>
      </c>
      <c r="S9" s="114">
        <v>3577</v>
      </c>
      <c r="T9" s="115">
        <v>300</v>
      </c>
      <c r="U9" s="117" t="s">
        <v>146</v>
      </c>
      <c r="V9" s="117" t="s">
        <v>96</v>
      </c>
    </row>
    <row r="10" spans="2:22" x14ac:dyDescent="0.25">
      <c r="B10" s="14" t="s">
        <v>65</v>
      </c>
      <c r="D10" s="25"/>
      <c r="E10" s="43">
        <f t="shared" si="0"/>
        <v>0</v>
      </c>
      <c r="F10" s="35">
        <v>0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  <c r="N10" s="35">
        <v>0</v>
      </c>
      <c r="O10" s="35">
        <v>0</v>
      </c>
      <c r="P10" s="35">
        <v>0</v>
      </c>
      <c r="Q10" s="53">
        <v>0</v>
      </c>
      <c r="S10" s="114">
        <v>9910</v>
      </c>
      <c r="T10" s="115">
        <v>135</v>
      </c>
      <c r="U10" s="117" t="s">
        <v>146</v>
      </c>
      <c r="V10" s="117" t="s">
        <v>98</v>
      </c>
    </row>
    <row r="11" spans="2:22" x14ac:dyDescent="0.25">
      <c r="B11" s="14" t="s">
        <v>66</v>
      </c>
      <c r="D11" s="25"/>
      <c r="E11" s="43">
        <f t="shared" si="0"/>
        <v>0</v>
      </c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53"/>
      <c r="S11" s="114">
        <v>9911</v>
      </c>
      <c r="T11" s="115">
        <v>135</v>
      </c>
      <c r="U11" s="117" t="s">
        <v>146</v>
      </c>
      <c r="V11" s="117" t="s">
        <v>98</v>
      </c>
    </row>
    <row r="12" spans="2:22" x14ac:dyDescent="0.25">
      <c r="B12" s="14" t="s">
        <v>67</v>
      </c>
      <c r="D12" s="25"/>
      <c r="E12" s="43">
        <f t="shared" si="0"/>
        <v>0</v>
      </c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53"/>
      <c r="S12" s="113">
        <v>3011</v>
      </c>
      <c r="T12" s="121">
        <v>2000</v>
      </c>
      <c r="U12" s="118" t="s">
        <v>150</v>
      </c>
    </row>
    <row r="13" spans="2:22" x14ac:dyDescent="0.25">
      <c r="B13" s="14" t="s">
        <v>68</v>
      </c>
      <c r="D13" s="25"/>
      <c r="E13" s="43">
        <f t="shared" si="0"/>
        <v>0</v>
      </c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53"/>
      <c r="S13" s="113">
        <v>3578</v>
      </c>
      <c r="T13" s="121">
        <v>300</v>
      </c>
      <c r="U13" s="118" t="s">
        <v>150</v>
      </c>
    </row>
    <row r="14" spans="2:22" x14ac:dyDescent="0.25">
      <c r="B14" s="14" t="s">
        <v>207</v>
      </c>
      <c r="D14" s="25"/>
      <c r="E14" s="43">
        <f t="shared" si="0"/>
        <v>5012.04</v>
      </c>
      <c r="F14" s="49">
        <v>417.67</v>
      </c>
      <c r="G14" s="49">
        <v>417.67</v>
      </c>
      <c r="H14" s="49">
        <v>417.67</v>
      </c>
      <c r="I14" s="49">
        <v>417.67</v>
      </c>
      <c r="J14" s="49">
        <v>417.67</v>
      </c>
      <c r="K14" s="49">
        <v>417.67</v>
      </c>
      <c r="L14" s="49">
        <v>417.67</v>
      </c>
      <c r="M14" s="49">
        <v>417.67</v>
      </c>
      <c r="N14" s="49">
        <v>417.67</v>
      </c>
      <c r="O14" s="49">
        <v>417.67</v>
      </c>
      <c r="P14" s="49">
        <v>417.67</v>
      </c>
      <c r="Q14" s="101">
        <v>417.67</v>
      </c>
      <c r="S14" s="114">
        <v>3012</v>
      </c>
      <c r="T14" s="115">
        <v>1848.58</v>
      </c>
      <c r="U14" s="116">
        <v>44646</v>
      </c>
      <c r="V14" s="117" t="s">
        <v>152</v>
      </c>
    </row>
    <row r="15" spans="2:22" x14ac:dyDescent="0.25">
      <c r="B15" s="14" t="s">
        <v>201</v>
      </c>
      <c r="D15" s="25"/>
      <c r="E15" s="43">
        <f t="shared" si="0"/>
        <v>11013.73</v>
      </c>
      <c r="F15" s="35"/>
      <c r="G15" s="35"/>
      <c r="H15" s="35"/>
      <c r="I15" s="35"/>
      <c r="J15" s="35"/>
      <c r="K15" s="35">
        <v>2072.25</v>
      </c>
      <c r="L15" s="35"/>
      <c r="M15" s="35"/>
      <c r="N15" s="35"/>
      <c r="O15" s="35"/>
      <c r="P15" s="35"/>
      <c r="Q15" s="53">
        <f>2794.1+2860.9+3286.48</f>
        <v>8941.48</v>
      </c>
      <c r="S15" s="114">
        <v>3579</v>
      </c>
      <c r="T15" s="115">
        <v>300</v>
      </c>
      <c r="U15" s="116">
        <v>44625</v>
      </c>
      <c r="V15" s="117" t="s">
        <v>96</v>
      </c>
    </row>
    <row r="16" spans="2:22" x14ac:dyDescent="0.25">
      <c r="B16" s="14"/>
      <c r="D16" s="25"/>
      <c r="E16" s="43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53"/>
      <c r="S16" s="114">
        <v>9912</v>
      </c>
      <c r="T16" s="115">
        <v>135</v>
      </c>
      <c r="U16" s="116">
        <v>44621</v>
      </c>
      <c r="V16" s="117" t="s">
        <v>98</v>
      </c>
    </row>
    <row r="17" spans="1:22" x14ac:dyDescent="0.25">
      <c r="B17" s="14" t="s">
        <v>78</v>
      </c>
      <c r="D17" s="25"/>
      <c r="E17" s="43">
        <f t="shared" si="0"/>
        <v>0</v>
      </c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53"/>
      <c r="S17" s="114">
        <v>9913</v>
      </c>
      <c r="T17" s="115">
        <v>135</v>
      </c>
      <c r="U17" s="116">
        <v>44643</v>
      </c>
      <c r="V17" s="117" t="s">
        <v>98</v>
      </c>
    </row>
    <row r="18" spans="1:22" x14ac:dyDescent="0.25">
      <c r="B18" s="14" t="s">
        <v>79</v>
      </c>
      <c r="D18" s="25"/>
      <c r="E18" s="43">
        <f>SUM(F18:Q18)</f>
        <v>0</v>
      </c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53"/>
      <c r="S18" s="117">
        <v>3013</v>
      </c>
      <c r="T18" s="115">
        <v>694</v>
      </c>
      <c r="U18" s="116">
        <v>44654</v>
      </c>
      <c r="V18" s="117" t="s">
        <v>94</v>
      </c>
    </row>
    <row r="19" spans="1:22" x14ac:dyDescent="0.25">
      <c r="A19" t="s">
        <v>89</v>
      </c>
      <c r="B19" s="14" t="s">
        <v>88</v>
      </c>
      <c r="D19" s="25"/>
      <c r="E19" s="43">
        <f t="shared" si="0"/>
        <v>7148</v>
      </c>
      <c r="F19" s="35">
        <f>T4+T6+T8</f>
        <v>2000</v>
      </c>
      <c r="G19" s="35"/>
      <c r="H19" s="35"/>
      <c r="I19" s="35">
        <f>T18</f>
        <v>694</v>
      </c>
      <c r="J19" s="35"/>
      <c r="K19" s="35">
        <f>T31+T32+T33+T34</f>
        <v>1339</v>
      </c>
      <c r="L19" s="35">
        <f>T37+T38+T39</f>
        <v>1564</v>
      </c>
      <c r="M19" s="35">
        <f>T42+T43+T44+T45</f>
        <v>1251</v>
      </c>
      <c r="N19" s="35">
        <f>T48+T49</f>
        <v>300</v>
      </c>
      <c r="O19" s="35"/>
      <c r="P19" s="35"/>
      <c r="Q19" s="53"/>
      <c r="S19" s="114">
        <v>3014</v>
      </c>
      <c r="T19" s="115">
        <v>3100</v>
      </c>
      <c r="U19" s="116">
        <v>44669</v>
      </c>
      <c r="V19" s="117" t="s">
        <v>153</v>
      </c>
    </row>
    <row r="20" spans="1:22" x14ac:dyDescent="0.25">
      <c r="B20" s="14" t="s">
        <v>90</v>
      </c>
      <c r="D20" s="25"/>
      <c r="E20" s="43">
        <f t="shared" si="0"/>
        <v>0</v>
      </c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53"/>
      <c r="S20" s="114">
        <v>3037</v>
      </c>
      <c r="T20" s="115">
        <v>1000</v>
      </c>
      <c r="U20" s="116">
        <v>44656</v>
      </c>
      <c r="V20" s="117" t="s">
        <v>97</v>
      </c>
    </row>
    <row r="21" spans="1:22" x14ac:dyDescent="0.25">
      <c r="B21" s="14"/>
      <c r="D21" s="25"/>
      <c r="E21" s="43">
        <f t="shared" si="0"/>
        <v>0</v>
      </c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53"/>
      <c r="S21" s="114">
        <v>3038</v>
      </c>
      <c r="T21" s="115">
        <v>300</v>
      </c>
      <c r="U21" s="116">
        <v>44662</v>
      </c>
      <c r="V21" s="117" t="s">
        <v>154</v>
      </c>
    </row>
    <row r="22" spans="1:22" x14ac:dyDescent="0.25">
      <c r="B22" s="14" t="s">
        <v>93</v>
      </c>
      <c r="D22" s="25"/>
      <c r="E22" s="43">
        <f t="shared" si="0"/>
        <v>5604.8099999999995</v>
      </c>
      <c r="F22" s="35">
        <v>1100</v>
      </c>
      <c r="G22" s="35"/>
      <c r="H22" s="35"/>
      <c r="I22" s="35">
        <f>T19</f>
        <v>3100</v>
      </c>
      <c r="J22" s="35"/>
      <c r="K22" s="35">
        <v>1404.81</v>
      </c>
      <c r="L22" s="35"/>
      <c r="M22" s="35"/>
      <c r="N22" s="35"/>
      <c r="O22" s="35"/>
      <c r="P22" s="35"/>
      <c r="Q22" s="53"/>
      <c r="S22" s="114">
        <v>3580</v>
      </c>
      <c r="T22" s="115">
        <v>300</v>
      </c>
      <c r="U22" s="116">
        <v>44654</v>
      </c>
      <c r="V22" s="117" t="s">
        <v>96</v>
      </c>
    </row>
    <row r="23" spans="1:22" x14ac:dyDescent="0.25">
      <c r="B23" s="14" t="s">
        <v>95</v>
      </c>
      <c r="D23" s="25"/>
      <c r="E23" s="43">
        <f t="shared" si="0"/>
        <v>300</v>
      </c>
      <c r="F23" s="35"/>
      <c r="G23" s="35"/>
      <c r="H23" s="35"/>
      <c r="I23" s="35">
        <f>T21</f>
        <v>300</v>
      </c>
      <c r="J23" s="35"/>
      <c r="K23" s="35"/>
      <c r="L23" s="35"/>
      <c r="M23" s="35"/>
      <c r="N23" s="35"/>
      <c r="O23" s="35"/>
      <c r="P23" s="35"/>
      <c r="Q23" s="53"/>
      <c r="S23" s="114">
        <v>9914</v>
      </c>
      <c r="T23" s="115">
        <v>200</v>
      </c>
      <c r="U23" s="116">
        <v>44669</v>
      </c>
      <c r="V23" s="117" t="s">
        <v>98</v>
      </c>
    </row>
    <row r="24" spans="1:22" x14ac:dyDescent="0.25">
      <c r="B24" s="14" t="s">
        <v>97</v>
      </c>
      <c r="D24" s="25"/>
      <c r="E24" s="43">
        <f t="shared" si="0"/>
        <v>2574.4300000000003</v>
      </c>
      <c r="F24" s="35">
        <v>1574.43</v>
      </c>
      <c r="G24" s="35"/>
      <c r="H24" s="35"/>
      <c r="I24" s="35">
        <f>T20</f>
        <v>1000</v>
      </c>
      <c r="J24" s="35"/>
      <c r="K24" s="35"/>
      <c r="L24" s="35"/>
      <c r="M24" s="35"/>
      <c r="N24" s="35"/>
      <c r="O24" s="35"/>
      <c r="P24" s="35"/>
      <c r="Q24" s="53"/>
      <c r="S24" s="114">
        <v>3015</v>
      </c>
      <c r="T24" s="115">
        <v>200</v>
      </c>
      <c r="U24" s="116">
        <v>44683</v>
      </c>
      <c r="V24" s="117"/>
    </row>
    <row r="25" spans="1:22" x14ac:dyDescent="0.25">
      <c r="B25" s="14" t="s">
        <v>99</v>
      </c>
      <c r="D25" s="25"/>
      <c r="E25" s="43">
        <f t="shared" si="0"/>
        <v>1825</v>
      </c>
      <c r="F25" s="35"/>
      <c r="G25" s="35"/>
      <c r="H25" s="35"/>
      <c r="I25" s="35"/>
      <c r="J25" s="35">
        <f>Table1[[#This Row],[Amount]]+T26</f>
        <v>1825</v>
      </c>
      <c r="K25" s="35"/>
      <c r="L25" s="35"/>
      <c r="M25" s="35"/>
      <c r="N25" s="35"/>
      <c r="O25" s="35"/>
      <c r="P25" s="35"/>
      <c r="Q25" s="53"/>
      <c r="S25" s="114">
        <v>3017</v>
      </c>
      <c r="T25" s="115">
        <v>900</v>
      </c>
      <c r="U25" s="116">
        <v>44688</v>
      </c>
      <c r="V25" s="117" t="s">
        <v>156</v>
      </c>
    </row>
    <row r="26" spans="1:22" x14ac:dyDescent="0.25">
      <c r="B26" s="14" t="s">
        <v>152</v>
      </c>
      <c r="C26" s="2"/>
      <c r="D26" s="25"/>
      <c r="E26" s="43"/>
      <c r="F26" s="35"/>
      <c r="G26" s="35"/>
      <c r="H26" s="35">
        <f>T14</f>
        <v>1848.58</v>
      </c>
      <c r="I26" s="35"/>
      <c r="J26" s="35">
        <f>T27</f>
        <v>108</v>
      </c>
      <c r="K26" s="35"/>
      <c r="L26" s="35"/>
      <c r="M26" s="35"/>
      <c r="N26" s="35"/>
      <c r="O26" s="35"/>
      <c r="P26" s="35"/>
      <c r="Q26" s="53"/>
      <c r="S26" s="114">
        <v>3018</v>
      </c>
      <c r="T26" s="115">
        <v>925</v>
      </c>
      <c r="U26" s="116">
        <v>44688</v>
      </c>
      <c r="V26" s="117" t="s">
        <v>156</v>
      </c>
    </row>
    <row r="27" spans="1:22" x14ac:dyDescent="0.25">
      <c r="B27" s="14" t="s">
        <v>100</v>
      </c>
      <c r="D27" s="25"/>
      <c r="E27" s="43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53"/>
      <c r="S27" s="114">
        <v>3039</v>
      </c>
      <c r="T27" s="115">
        <v>108</v>
      </c>
      <c r="U27" s="116">
        <v>44712</v>
      </c>
      <c r="V27" s="117" t="s">
        <v>152</v>
      </c>
    </row>
    <row r="28" spans="1:22" x14ac:dyDescent="0.25">
      <c r="B28" s="22" t="s">
        <v>159</v>
      </c>
      <c r="C28" s="23">
        <v>0.54500000000000004</v>
      </c>
      <c r="D28" s="25"/>
      <c r="E28" s="43">
        <f t="shared" si="0"/>
        <v>0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53"/>
      <c r="S28" s="114">
        <v>3581</v>
      </c>
      <c r="T28" s="115">
        <v>300</v>
      </c>
      <c r="U28" s="116">
        <v>44684</v>
      </c>
      <c r="V28" s="117" t="s">
        <v>96</v>
      </c>
    </row>
    <row r="29" spans="1:22" x14ac:dyDescent="0.25">
      <c r="B29" s="14"/>
      <c r="C29" s="2"/>
      <c r="D29" s="25"/>
      <c r="E29" s="43">
        <f t="shared" si="0"/>
        <v>0</v>
      </c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53"/>
      <c r="S29" s="114">
        <v>9915</v>
      </c>
      <c r="T29" s="115">
        <v>200</v>
      </c>
      <c r="U29" s="116">
        <v>44699</v>
      </c>
      <c r="V29" s="117" t="s">
        <v>98</v>
      </c>
    </row>
    <row r="30" spans="1:22" ht="15.75" thickBot="1" x14ac:dyDescent="0.3">
      <c r="B30" s="20"/>
      <c r="C30" s="21"/>
      <c r="D30" s="30"/>
      <c r="E30" s="102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5"/>
      <c r="S30" s="114">
        <v>3019</v>
      </c>
      <c r="T30" s="115">
        <v>2072.25</v>
      </c>
      <c r="U30" s="116">
        <v>44733</v>
      </c>
      <c r="V30" s="117" t="s">
        <v>157</v>
      </c>
    </row>
    <row r="31" spans="1:22" x14ac:dyDescent="0.25">
      <c r="E31" s="64"/>
      <c r="S31" s="114">
        <v>3020</v>
      </c>
      <c r="T31" s="115">
        <v>206</v>
      </c>
      <c r="U31" s="116">
        <v>44732</v>
      </c>
      <c r="V31" s="117" t="s">
        <v>94</v>
      </c>
    </row>
    <row r="32" spans="1:22" x14ac:dyDescent="0.25">
      <c r="E32" s="64"/>
      <c r="S32" s="114">
        <v>3040</v>
      </c>
      <c r="T32" s="115">
        <v>400</v>
      </c>
      <c r="U32" s="116">
        <v>44716</v>
      </c>
      <c r="V32" s="117" t="s">
        <v>94</v>
      </c>
    </row>
    <row r="33" spans="19:22" x14ac:dyDescent="0.25">
      <c r="S33" s="114">
        <v>3041</v>
      </c>
      <c r="T33" s="115">
        <v>433</v>
      </c>
      <c r="U33" s="116">
        <v>44718</v>
      </c>
      <c r="V33" s="117" t="s">
        <v>94</v>
      </c>
    </row>
    <row r="34" spans="19:22" x14ac:dyDescent="0.25">
      <c r="S34" s="114">
        <v>3042</v>
      </c>
      <c r="T34" s="115">
        <v>300</v>
      </c>
      <c r="U34" s="116">
        <v>44723</v>
      </c>
      <c r="V34" s="117" t="s">
        <v>94</v>
      </c>
    </row>
    <row r="35" spans="19:22" x14ac:dyDescent="0.25">
      <c r="S35" s="114">
        <v>3582</v>
      </c>
      <c r="T35" s="115">
        <v>300</v>
      </c>
      <c r="U35" s="116">
        <v>44716</v>
      </c>
      <c r="V35" s="117" t="s">
        <v>96</v>
      </c>
    </row>
    <row r="36" spans="19:22" x14ac:dyDescent="0.25">
      <c r="S36" s="114">
        <v>9916</v>
      </c>
      <c r="T36" s="115">
        <v>200</v>
      </c>
      <c r="U36" s="116">
        <v>44731</v>
      </c>
      <c r="V36" s="117" t="s">
        <v>98</v>
      </c>
    </row>
    <row r="37" spans="19:22" x14ac:dyDescent="0.25">
      <c r="S37" s="114">
        <v>3021</v>
      </c>
      <c r="T37" s="115">
        <v>435</v>
      </c>
      <c r="U37" s="116">
        <v>44761</v>
      </c>
      <c r="V37" s="117" t="s">
        <v>94</v>
      </c>
    </row>
    <row r="38" spans="19:22" x14ac:dyDescent="0.25">
      <c r="S38" s="114">
        <v>3043</v>
      </c>
      <c r="T38" s="115">
        <v>799</v>
      </c>
      <c r="U38" s="116">
        <v>44745</v>
      </c>
      <c r="V38" s="117" t="s">
        <v>94</v>
      </c>
    </row>
    <row r="39" spans="19:22" x14ac:dyDescent="0.25">
      <c r="S39" s="114">
        <v>3044</v>
      </c>
      <c r="T39" s="115">
        <v>330</v>
      </c>
      <c r="U39" s="116">
        <v>44766</v>
      </c>
      <c r="V39" s="117" t="s">
        <v>94</v>
      </c>
    </row>
    <row r="40" spans="19:22" x14ac:dyDescent="0.25">
      <c r="S40" s="114">
        <v>3583</v>
      </c>
      <c r="T40" s="115">
        <v>300</v>
      </c>
      <c r="U40" s="116">
        <v>44745</v>
      </c>
      <c r="V40" s="117" t="s">
        <v>96</v>
      </c>
    </row>
    <row r="41" spans="19:22" x14ac:dyDescent="0.25">
      <c r="S41" s="114">
        <v>9917</v>
      </c>
      <c r="T41" s="115">
        <v>200</v>
      </c>
      <c r="U41" s="116">
        <v>44760</v>
      </c>
      <c r="V41" s="117" t="s">
        <v>98</v>
      </c>
    </row>
    <row r="42" spans="19:22" x14ac:dyDescent="0.25">
      <c r="S42" s="114">
        <v>3022</v>
      </c>
      <c r="T42" s="115">
        <v>570</v>
      </c>
      <c r="U42" s="116">
        <v>44779</v>
      </c>
      <c r="V42" s="117" t="s">
        <v>94</v>
      </c>
    </row>
    <row r="43" spans="19:22" x14ac:dyDescent="0.25">
      <c r="S43" s="114">
        <v>3023</v>
      </c>
      <c r="T43" s="115">
        <v>350</v>
      </c>
      <c r="U43" s="116">
        <v>44779</v>
      </c>
      <c r="V43" s="117" t="s">
        <v>94</v>
      </c>
    </row>
    <row r="44" spans="19:22" x14ac:dyDescent="0.25">
      <c r="S44" s="114">
        <v>3024</v>
      </c>
      <c r="T44" s="115">
        <v>151</v>
      </c>
      <c r="U44" s="116">
        <v>44794</v>
      </c>
      <c r="V44" s="117" t="s">
        <v>94</v>
      </c>
    </row>
    <row r="45" spans="19:22" x14ac:dyDescent="0.25">
      <c r="S45" s="114">
        <v>3025</v>
      </c>
      <c r="T45" s="115">
        <v>180</v>
      </c>
      <c r="U45" s="116">
        <v>44794</v>
      </c>
      <c r="V45" s="117" t="s">
        <v>94</v>
      </c>
    </row>
    <row r="46" spans="19:22" x14ac:dyDescent="0.25">
      <c r="S46" s="114">
        <v>3584</v>
      </c>
      <c r="T46" s="115">
        <v>300</v>
      </c>
      <c r="U46" s="116">
        <v>44776</v>
      </c>
      <c r="V46" s="117" t="s">
        <v>96</v>
      </c>
    </row>
    <row r="47" spans="19:22" x14ac:dyDescent="0.25">
      <c r="S47" s="114">
        <v>9918</v>
      </c>
      <c r="T47" s="115">
        <v>200</v>
      </c>
      <c r="U47" s="116">
        <v>44793</v>
      </c>
      <c r="V47" s="117" t="s">
        <v>98</v>
      </c>
    </row>
    <row r="48" spans="19:22" x14ac:dyDescent="0.25">
      <c r="S48" s="114">
        <v>3045</v>
      </c>
      <c r="T48" s="115">
        <v>135</v>
      </c>
      <c r="U48" s="116">
        <v>44814</v>
      </c>
      <c r="V48" s="117" t="s">
        <v>94</v>
      </c>
    </row>
    <row r="49" spans="19:22" x14ac:dyDescent="0.25">
      <c r="S49" s="114">
        <v>3046</v>
      </c>
      <c r="T49" s="115">
        <v>165</v>
      </c>
      <c r="U49" s="116">
        <v>44814</v>
      </c>
      <c r="V49" s="117" t="s">
        <v>94</v>
      </c>
    </row>
    <row r="50" spans="19:22" x14ac:dyDescent="0.25">
      <c r="S50" s="114">
        <v>3583</v>
      </c>
      <c r="T50" s="115">
        <v>300</v>
      </c>
      <c r="U50" s="116">
        <v>44808</v>
      </c>
      <c r="V50" s="117" t="s">
        <v>96</v>
      </c>
    </row>
    <row r="51" spans="19:22" x14ac:dyDescent="0.25">
      <c r="S51" s="114">
        <v>9919</v>
      </c>
      <c r="T51" s="115">
        <v>200</v>
      </c>
      <c r="U51" s="116">
        <v>44822</v>
      </c>
      <c r="V51" s="117" t="s">
        <v>98</v>
      </c>
    </row>
    <row r="52" spans="19:22" x14ac:dyDescent="0.25">
      <c r="S52" s="114">
        <v>3586</v>
      </c>
      <c r="T52" s="115">
        <v>300</v>
      </c>
      <c r="U52" s="116">
        <v>44838</v>
      </c>
      <c r="V52" s="117" t="s">
        <v>96</v>
      </c>
    </row>
    <row r="53" spans="19:22" x14ac:dyDescent="0.25">
      <c r="S53" s="114">
        <v>9920</v>
      </c>
      <c r="T53" s="115">
        <v>200</v>
      </c>
      <c r="U53" s="116">
        <v>44852</v>
      </c>
      <c r="V53" s="117" t="s">
        <v>98</v>
      </c>
    </row>
    <row r="54" spans="19:22" x14ac:dyDescent="0.25">
      <c r="S54" s="114">
        <v>101</v>
      </c>
      <c r="T54" s="115">
        <v>80</v>
      </c>
      <c r="U54" s="116">
        <v>44879</v>
      </c>
      <c r="V54" s="117" t="s">
        <v>109</v>
      </c>
    </row>
    <row r="55" spans="19:22" x14ac:dyDescent="0.25">
      <c r="S55" s="114">
        <v>1004</v>
      </c>
      <c r="T55" s="115">
        <v>6000</v>
      </c>
      <c r="U55" s="116">
        <v>44890</v>
      </c>
      <c r="V55" s="117" t="s">
        <v>111</v>
      </c>
    </row>
    <row r="56" spans="19:22" x14ac:dyDescent="0.25">
      <c r="S56" s="114">
        <v>3587</v>
      </c>
      <c r="T56" s="115">
        <v>238.18</v>
      </c>
      <c r="U56" s="116">
        <v>44870</v>
      </c>
      <c r="V56" s="117" t="s">
        <v>96</v>
      </c>
    </row>
    <row r="57" spans="19:22" x14ac:dyDescent="0.25">
      <c r="S57" s="114">
        <v>9921</v>
      </c>
      <c r="T57" s="115">
        <v>200</v>
      </c>
      <c r="U57" s="116">
        <v>44885</v>
      </c>
      <c r="V57" s="117" t="s">
        <v>98</v>
      </c>
    </row>
    <row r="58" spans="19:22" x14ac:dyDescent="0.25">
      <c r="S58" s="114">
        <v>103</v>
      </c>
      <c r="T58" s="115">
        <v>1230.57</v>
      </c>
      <c r="U58" s="116">
        <v>44898</v>
      </c>
      <c r="V58" s="117" t="s">
        <v>109</v>
      </c>
    </row>
    <row r="59" spans="19:22" x14ac:dyDescent="0.25">
      <c r="S59" s="114">
        <v>3047</v>
      </c>
      <c r="T59" s="115">
        <v>1449.68</v>
      </c>
      <c r="U59" s="116">
        <v>44913</v>
      </c>
      <c r="V59" s="117" t="s">
        <v>109</v>
      </c>
    </row>
    <row r="60" spans="19:22" x14ac:dyDescent="0.25">
      <c r="S60" s="124">
        <v>9922</v>
      </c>
      <c r="T60" s="125">
        <v>200</v>
      </c>
      <c r="U60" s="126">
        <v>44913</v>
      </c>
      <c r="V60" s="127" t="s">
        <v>98</v>
      </c>
    </row>
  </sheetData>
  <mergeCells count="1">
    <mergeCell ref="F1:Q1"/>
  </mergeCells>
  <pageMargins left="0.7" right="0.7" top="0.75" bottom="0.75" header="0.3" footer="0.3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42C7A-58AE-47EA-A21C-25F7273C735A}">
  <sheetPr>
    <tabColor theme="8" tint="-0.499984740745262"/>
  </sheetPr>
  <dimension ref="B1:T42"/>
  <sheetViews>
    <sheetView topLeftCell="C1" workbookViewId="0">
      <selection activeCell="K37" sqref="K37"/>
    </sheetView>
  </sheetViews>
  <sheetFormatPr defaultRowHeight="15" x14ac:dyDescent="0.25"/>
  <cols>
    <col min="1" max="1" width="0" hidden="1" customWidth="1"/>
    <col min="2" max="2" width="13.5703125" hidden="1" customWidth="1"/>
    <col min="3" max="3" width="13.5703125" customWidth="1"/>
    <col min="4" max="4" width="24.85546875" customWidth="1"/>
    <col min="5" max="5" width="9.28515625" bestFit="1" customWidth="1"/>
    <col min="6" max="6" width="12.5703125" style="1" bestFit="1" customWidth="1"/>
    <col min="7" max="7" width="12.5703125" style="1" customWidth="1"/>
    <col min="8" max="8" width="13.42578125" style="42" bestFit="1" customWidth="1"/>
    <col min="9" max="9" width="12.28515625" bestFit="1" customWidth="1"/>
    <col min="10" max="10" width="11" bestFit="1" customWidth="1"/>
    <col min="11" max="13" width="11.5703125" bestFit="1" customWidth="1"/>
    <col min="14" max="20" width="12.28515625" bestFit="1" customWidth="1"/>
  </cols>
  <sheetData>
    <row r="1" spans="2:20" x14ac:dyDescent="0.25">
      <c r="D1" s="75">
        <f>Summary!G5</f>
        <v>2023</v>
      </c>
      <c r="E1" s="13"/>
      <c r="F1" s="24"/>
      <c r="G1" s="24"/>
      <c r="H1" s="41"/>
      <c r="I1" s="565" t="str">
        <f>"Olympic Court Condo "&amp;D1&amp;" ONLY"</f>
        <v>Olympic Court Condo 2023 ONLY</v>
      </c>
      <c r="J1" s="565"/>
      <c r="K1" s="565"/>
      <c r="L1" s="565"/>
      <c r="M1" s="565"/>
      <c r="N1" s="565"/>
      <c r="O1" s="565"/>
      <c r="P1" s="565"/>
      <c r="Q1" s="565"/>
      <c r="R1" s="565"/>
      <c r="S1" s="565"/>
      <c r="T1" s="566"/>
    </row>
    <row r="2" spans="2:20" x14ac:dyDescent="0.25">
      <c r="D2" s="76"/>
      <c r="E2" s="3"/>
      <c r="F2" s="3"/>
      <c r="G2" s="3"/>
      <c r="H2" s="3" t="s">
        <v>41</v>
      </c>
      <c r="I2" s="3" t="s">
        <v>42</v>
      </c>
      <c r="J2" s="3" t="s">
        <v>43</v>
      </c>
      <c r="K2" s="3" t="s">
        <v>44</v>
      </c>
      <c r="L2" s="3" t="s">
        <v>45</v>
      </c>
      <c r="M2" s="3" t="s">
        <v>46</v>
      </c>
      <c r="N2" s="3" t="s">
        <v>47</v>
      </c>
      <c r="O2" s="3" t="s">
        <v>115</v>
      </c>
      <c r="P2" s="3" t="s">
        <v>49</v>
      </c>
      <c r="Q2" s="3" t="s">
        <v>50</v>
      </c>
      <c r="R2" s="3" t="s">
        <v>51</v>
      </c>
      <c r="S2" s="3" t="s">
        <v>52</v>
      </c>
      <c r="T2" s="15" t="s">
        <v>53</v>
      </c>
    </row>
    <row r="3" spans="2:20" x14ac:dyDescent="0.25">
      <c r="D3" s="572" t="s">
        <v>209</v>
      </c>
      <c r="E3" s="573"/>
      <c r="F3" s="573"/>
      <c r="G3" s="573"/>
      <c r="H3" s="67">
        <f t="shared" ref="H3:H31" si="0">SUM(I3:T3)</f>
        <v>10220</v>
      </c>
      <c r="I3" s="68">
        <v>0</v>
      </c>
      <c r="J3" s="68">
        <v>0</v>
      </c>
      <c r="K3" s="68">
        <v>0</v>
      </c>
      <c r="L3" s="68">
        <v>0</v>
      </c>
      <c r="M3" s="68">
        <v>0</v>
      </c>
      <c r="N3" s="68">
        <v>1460</v>
      </c>
      <c r="O3" s="68">
        <v>1460</v>
      </c>
      <c r="P3" s="68">
        <v>1460</v>
      </c>
      <c r="Q3" s="68">
        <v>1460</v>
      </c>
      <c r="R3" s="68">
        <v>1460</v>
      </c>
      <c r="S3" s="68">
        <v>1460</v>
      </c>
      <c r="T3" s="77">
        <v>1460</v>
      </c>
    </row>
    <row r="4" spans="2:20" ht="12.75" customHeight="1" x14ac:dyDescent="0.25">
      <c r="D4" s="574"/>
      <c r="E4" s="575"/>
      <c r="F4" s="575"/>
      <c r="G4" s="575"/>
      <c r="H4" s="575"/>
      <c r="I4" s="575"/>
      <c r="J4" s="575"/>
      <c r="K4" s="575"/>
      <c r="L4" s="575"/>
      <c r="M4" s="575"/>
      <c r="N4" s="575"/>
      <c r="O4" s="575"/>
      <c r="P4" s="575"/>
      <c r="Q4" s="575"/>
      <c r="R4" s="575"/>
      <c r="S4" s="575"/>
      <c r="T4" s="576"/>
    </row>
    <row r="5" spans="2:20" x14ac:dyDescent="0.25">
      <c r="D5" s="85" t="s">
        <v>199</v>
      </c>
      <c r="E5" s="86"/>
      <c r="F5" s="87"/>
      <c r="G5" s="87"/>
      <c r="H5" s="91">
        <f>SUM(I5:T5)</f>
        <v>7200.6400000000012</v>
      </c>
      <c r="I5" s="92">
        <f>SUM(I6:I33)</f>
        <v>1381.72</v>
      </c>
      <c r="J5" s="92">
        <f t="shared" ref="J5:T5" si="1">SUM(J6:J33)</f>
        <v>181.72</v>
      </c>
      <c r="K5" s="92">
        <f t="shared" si="1"/>
        <v>181.72</v>
      </c>
      <c r="L5" s="92">
        <f t="shared" si="1"/>
        <v>181.72</v>
      </c>
      <c r="M5" s="92">
        <f t="shared" si="1"/>
        <v>181.72</v>
      </c>
      <c r="N5" s="92">
        <f t="shared" si="1"/>
        <v>3041.7200000000003</v>
      </c>
      <c r="O5" s="92">
        <f t="shared" si="1"/>
        <v>341.72</v>
      </c>
      <c r="P5" s="92">
        <f t="shared" si="1"/>
        <v>341.72</v>
      </c>
      <c r="Q5" s="92">
        <f t="shared" si="1"/>
        <v>341.72</v>
      </c>
      <c r="R5" s="92">
        <f t="shared" si="1"/>
        <v>341.72</v>
      </c>
      <c r="S5" s="92">
        <f t="shared" si="1"/>
        <v>341.72</v>
      </c>
      <c r="T5" s="93">
        <f t="shared" si="1"/>
        <v>341.72</v>
      </c>
    </row>
    <row r="6" spans="2:20" x14ac:dyDescent="0.25">
      <c r="D6" s="79" t="s">
        <v>200</v>
      </c>
      <c r="E6" s="78"/>
      <c r="F6" s="69"/>
      <c r="G6" s="69"/>
      <c r="H6" s="89">
        <f t="shared" si="0"/>
        <v>0</v>
      </c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94"/>
    </row>
    <row r="7" spans="2:20" x14ac:dyDescent="0.25">
      <c r="D7" s="79" t="s">
        <v>68</v>
      </c>
      <c r="E7" s="78"/>
      <c r="F7" s="69"/>
      <c r="G7" s="69"/>
      <c r="H7" s="89">
        <f t="shared" si="0"/>
        <v>1200</v>
      </c>
      <c r="I7" s="88">
        <v>1200</v>
      </c>
      <c r="J7" s="88"/>
      <c r="K7" s="88"/>
      <c r="L7" s="88"/>
      <c r="M7" s="88"/>
      <c r="N7" s="88"/>
      <c r="O7" s="88"/>
      <c r="P7" s="88"/>
      <c r="Q7" s="88"/>
      <c r="R7" s="88"/>
      <c r="S7" s="88"/>
      <c r="T7" s="94"/>
    </row>
    <row r="8" spans="2:20" x14ac:dyDescent="0.25">
      <c r="D8" s="79" t="s">
        <v>210</v>
      </c>
      <c r="E8" s="78"/>
      <c r="F8" s="69"/>
      <c r="G8" s="69"/>
      <c r="H8" s="89">
        <f t="shared" si="0"/>
        <v>2180.64</v>
      </c>
      <c r="I8" s="88">
        <v>181.72</v>
      </c>
      <c r="J8" s="88">
        <v>181.72</v>
      </c>
      <c r="K8" s="88">
        <v>181.72</v>
      </c>
      <c r="L8" s="88">
        <v>181.72</v>
      </c>
      <c r="M8" s="88">
        <v>181.72</v>
      </c>
      <c r="N8" s="88">
        <v>181.72</v>
      </c>
      <c r="O8" s="88">
        <v>181.72</v>
      </c>
      <c r="P8" s="88">
        <v>181.72</v>
      </c>
      <c r="Q8" s="88">
        <v>181.72</v>
      </c>
      <c r="R8" s="88">
        <v>181.72</v>
      </c>
      <c r="S8" s="88">
        <v>181.72</v>
      </c>
      <c r="T8" s="94">
        <v>181.72</v>
      </c>
    </row>
    <row r="9" spans="2:20" x14ac:dyDescent="0.25">
      <c r="D9" s="79" t="s">
        <v>78</v>
      </c>
      <c r="E9" s="78"/>
      <c r="F9" s="69"/>
      <c r="G9" s="69"/>
      <c r="H9" s="89">
        <f t="shared" si="0"/>
        <v>0</v>
      </c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94"/>
    </row>
    <row r="10" spans="2:20" hidden="1" x14ac:dyDescent="0.25">
      <c r="D10" s="80" t="s">
        <v>80</v>
      </c>
      <c r="E10" s="78"/>
      <c r="F10" s="71"/>
      <c r="G10" s="71"/>
      <c r="H10" s="89">
        <f t="shared" si="0"/>
        <v>0</v>
      </c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94"/>
    </row>
    <row r="11" spans="2:20" hidden="1" x14ac:dyDescent="0.25">
      <c r="D11" s="79" t="s">
        <v>139</v>
      </c>
      <c r="E11" s="78"/>
      <c r="F11" s="69"/>
      <c r="G11" s="69"/>
      <c r="H11" s="89">
        <f t="shared" si="0"/>
        <v>0</v>
      </c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94"/>
    </row>
    <row r="12" spans="2:20" hidden="1" x14ac:dyDescent="0.25">
      <c r="D12" s="79" t="s">
        <v>140</v>
      </c>
      <c r="E12" s="78"/>
      <c r="F12" s="69"/>
      <c r="G12" s="69"/>
      <c r="H12" s="89">
        <f t="shared" si="0"/>
        <v>0</v>
      </c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94"/>
    </row>
    <row r="13" spans="2:20" hidden="1" x14ac:dyDescent="0.25">
      <c r="D13" s="79" t="s">
        <v>197</v>
      </c>
      <c r="E13" s="78"/>
      <c r="F13" s="69"/>
      <c r="G13" s="69"/>
      <c r="H13" s="89">
        <f t="shared" si="0"/>
        <v>0</v>
      </c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94"/>
    </row>
    <row r="14" spans="2:20" hidden="1" x14ac:dyDescent="0.25">
      <c r="D14" s="79" t="s">
        <v>142</v>
      </c>
      <c r="E14" s="78"/>
      <c r="F14" s="69"/>
      <c r="G14" s="69"/>
      <c r="H14" s="89">
        <f t="shared" si="0"/>
        <v>0</v>
      </c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94"/>
    </row>
    <row r="15" spans="2:20" x14ac:dyDescent="0.25">
      <c r="D15" s="79"/>
      <c r="E15" s="78"/>
      <c r="F15" s="69"/>
      <c r="G15" s="69"/>
      <c r="H15" s="89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94"/>
    </row>
    <row r="16" spans="2:20" x14ac:dyDescent="0.25">
      <c r="B16" t="s">
        <v>89</v>
      </c>
      <c r="D16" s="79" t="s">
        <v>88</v>
      </c>
      <c r="E16" s="78"/>
      <c r="F16" s="69"/>
      <c r="G16" s="69"/>
      <c r="H16" s="89">
        <f t="shared" si="0"/>
        <v>700</v>
      </c>
      <c r="I16" s="88"/>
      <c r="J16" s="88"/>
      <c r="K16" s="88"/>
      <c r="L16" s="88"/>
      <c r="M16" s="88"/>
      <c r="N16" s="98">
        <v>700</v>
      </c>
      <c r="O16" s="88"/>
      <c r="P16" s="88"/>
      <c r="Q16" s="88"/>
      <c r="R16" s="88"/>
      <c r="S16" s="88"/>
      <c r="T16" s="94"/>
    </row>
    <row r="17" spans="4:20" x14ac:dyDescent="0.25">
      <c r="D17" s="79" t="s">
        <v>90</v>
      </c>
      <c r="E17" s="78"/>
      <c r="F17" s="69"/>
      <c r="G17" s="69"/>
      <c r="H17" s="89">
        <f t="shared" si="0"/>
        <v>1120</v>
      </c>
      <c r="I17" s="88">
        <v>0</v>
      </c>
      <c r="J17" s="88">
        <v>0</v>
      </c>
      <c r="K17" s="88">
        <v>0</v>
      </c>
      <c r="L17" s="88">
        <v>0</v>
      </c>
      <c r="M17" s="88">
        <v>0</v>
      </c>
      <c r="N17" s="88">
        <v>160</v>
      </c>
      <c r="O17" s="88">
        <v>160</v>
      </c>
      <c r="P17" s="88">
        <v>160</v>
      </c>
      <c r="Q17" s="88">
        <v>160</v>
      </c>
      <c r="R17" s="88">
        <v>160</v>
      </c>
      <c r="S17" s="88">
        <v>160</v>
      </c>
      <c r="T17" s="94">
        <v>160</v>
      </c>
    </row>
    <row r="18" spans="4:20" x14ac:dyDescent="0.25">
      <c r="D18" s="79" t="s">
        <v>91</v>
      </c>
      <c r="E18" s="78"/>
      <c r="F18" s="69"/>
      <c r="G18" s="69"/>
      <c r="H18" s="89">
        <f t="shared" si="0"/>
        <v>0</v>
      </c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94"/>
    </row>
    <row r="19" spans="4:20" x14ac:dyDescent="0.25">
      <c r="D19" s="79" t="s">
        <v>120</v>
      </c>
      <c r="E19" s="78"/>
      <c r="F19" s="69"/>
      <c r="G19" s="69"/>
      <c r="H19" s="89">
        <f t="shared" si="0"/>
        <v>0</v>
      </c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94"/>
    </row>
    <row r="20" spans="4:20" x14ac:dyDescent="0.25">
      <c r="D20" s="79" t="s">
        <v>211</v>
      </c>
      <c r="E20" s="78"/>
      <c r="F20" s="69"/>
      <c r="G20" s="69"/>
      <c r="H20" s="90">
        <f t="shared" si="0"/>
        <v>0</v>
      </c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94"/>
    </row>
    <row r="21" spans="4:20" x14ac:dyDescent="0.25">
      <c r="D21" s="81" t="str">
        <f>D1&amp;" IRS rate"</f>
        <v>2023 IRS rate</v>
      </c>
      <c r="E21" s="82">
        <v>0.56000000000000005</v>
      </c>
      <c r="F21" s="69"/>
      <c r="G21" s="69"/>
      <c r="H21" s="90">
        <f t="shared" si="0"/>
        <v>0</v>
      </c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94"/>
    </row>
    <row r="22" spans="4:20" x14ac:dyDescent="0.25">
      <c r="D22" s="79"/>
      <c r="E22" s="83"/>
      <c r="F22" s="69"/>
      <c r="G22" s="69"/>
      <c r="H22" s="90">
        <f t="shared" si="0"/>
        <v>0</v>
      </c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94"/>
    </row>
    <row r="23" spans="4:20" hidden="1" x14ac:dyDescent="0.25">
      <c r="D23" s="79" t="s">
        <v>93</v>
      </c>
      <c r="E23" s="78"/>
      <c r="F23" s="72"/>
      <c r="G23" s="72"/>
      <c r="H23" s="90">
        <f t="shared" si="0"/>
        <v>0</v>
      </c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94"/>
    </row>
    <row r="24" spans="4:20" hidden="1" x14ac:dyDescent="0.25">
      <c r="D24" s="79" t="s">
        <v>95</v>
      </c>
      <c r="E24" s="78"/>
      <c r="F24" s="72"/>
      <c r="G24" s="72"/>
      <c r="H24" s="90">
        <f t="shared" si="0"/>
        <v>0</v>
      </c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94"/>
    </row>
    <row r="25" spans="4:20" hidden="1" x14ac:dyDescent="0.25">
      <c r="D25" s="79" t="s">
        <v>97</v>
      </c>
      <c r="E25" s="78"/>
      <c r="F25" s="72"/>
      <c r="G25" s="72"/>
      <c r="H25" s="90">
        <f t="shared" si="0"/>
        <v>0</v>
      </c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94"/>
    </row>
    <row r="26" spans="4:20" hidden="1" x14ac:dyDescent="0.25">
      <c r="D26" s="84" t="s">
        <v>99</v>
      </c>
      <c r="E26" s="73"/>
      <c r="F26" s="74"/>
      <c r="G26" s="74"/>
      <c r="H26" s="90">
        <f t="shared" si="0"/>
        <v>0</v>
      </c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94"/>
    </row>
    <row r="27" spans="4:20" x14ac:dyDescent="0.25">
      <c r="D27" s="79" t="s">
        <v>212</v>
      </c>
      <c r="E27" s="78"/>
      <c r="F27" s="72"/>
      <c r="G27" s="72"/>
      <c r="H27" s="90">
        <f t="shared" si="0"/>
        <v>2000</v>
      </c>
      <c r="I27" s="88"/>
      <c r="J27" s="88"/>
      <c r="K27" s="88"/>
      <c r="L27" s="88"/>
      <c r="M27" s="88"/>
      <c r="N27" s="88">
        <v>2000</v>
      </c>
      <c r="O27" s="88"/>
      <c r="P27" s="88"/>
      <c r="Q27" s="88"/>
      <c r="R27" s="88"/>
      <c r="S27" s="88"/>
      <c r="T27" s="94"/>
    </row>
    <row r="28" spans="4:20" x14ac:dyDescent="0.25">
      <c r="D28" s="19"/>
      <c r="F28" s="29"/>
      <c r="G28" s="29"/>
      <c r="H28" s="90">
        <f t="shared" si="0"/>
        <v>0</v>
      </c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94"/>
    </row>
    <row r="29" spans="4:20" x14ac:dyDescent="0.25">
      <c r="D29" s="19"/>
      <c r="F29" s="29"/>
      <c r="G29" s="29"/>
      <c r="H29" s="90">
        <f t="shared" si="0"/>
        <v>0</v>
      </c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94"/>
    </row>
    <row r="30" spans="4:20" x14ac:dyDescent="0.25">
      <c r="D30" s="19"/>
      <c r="F30" s="29"/>
      <c r="G30" s="29"/>
      <c r="H30" s="90">
        <f t="shared" si="0"/>
        <v>0</v>
      </c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94"/>
    </row>
    <row r="31" spans="4:20" x14ac:dyDescent="0.25">
      <c r="D31" s="20"/>
      <c r="E31" s="21"/>
      <c r="F31" s="30"/>
      <c r="G31" s="30"/>
      <c r="H31" s="97">
        <f t="shared" si="0"/>
        <v>0</v>
      </c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6"/>
    </row>
    <row r="34" spans="10:14" x14ac:dyDescent="0.25">
      <c r="J34" s="70"/>
    </row>
    <row r="42" spans="10:14" x14ac:dyDescent="0.25">
      <c r="N42" s="70"/>
    </row>
  </sheetData>
  <mergeCells count="3">
    <mergeCell ref="I1:T1"/>
    <mergeCell ref="D3:G3"/>
    <mergeCell ref="D4:T4"/>
  </mergeCell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1DB0A-6F79-4A43-ABF1-F6791B1A1975}">
  <sheetPr>
    <tabColor theme="8" tint="-0.499984740745262"/>
  </sheetPr>
  <dimension ref="B1:T42"/>
  <sheetViews>
    <sheetView topLeftCell="C1" workbookViewId="0">
      <selection activeCell="P35" sqref="P35"/>
    </sheetView>
  </sheetViews>
  <sheetFormatPr defaultRowHeight="15" x14ac:dyDescent="0.25"/>
  <cols>
    <col min="1" max="1" width="0" hidden="1" customWidth="1"/>
    <col min="2" max="2" width="13.5703125" hidden="1" customWidth="1"/>
    <col min="3" max="3" width="13.5703125" customWidth="1"/>
    <col min="4" max="4" width="24.85546875" customWidth="1"/>
    <col min="5" max="5" width="9.28515625" bestFit="1" customWidth="1"/>
    <col min="6" max="6" width="12.5703125" style="1" bestFit="1" customWidth="1"/>
    <col min="7" max="7" width="12.5703125" style="1" customWidth="1"/>
    <col min="8" max="8" width="13.42578125" style="42" bestFit="1" customWidth="1"/>
    <col min="9" max="9" width="12.28515625" bestFit="1" customWidth="1"/>
    <col min="10" max="10" width="11" bestFit="1" customWidth="1"/>
    <col min="11" max="13" width="11.5703125" bestFit="1" customWidth="1"/>
    <col min="14" max="20" width="12.28515625" bestFit="1" customWidth="1"/>
  </cols>
  <sheetData>
    <row r="1" spans="2:20" x14ac:dyDescent="0.25">
      <c r="D1" s="75">
        <f>Summary!H5</f>
        <v>2022</v>
      </c>
      <c r="E1" s="13"/>
      <c r="F1" s="24"/>
      <c r="G1" s="24"/>
      <c r="H1" s="41"/>
      <c r="I1" s="565" t="str">
        <f>"Olympic Court Condo "&amp;D1&amp;" ONLY"</f>
        <v>Olympic Court Condo 2022 ONLY</v>
      </c>
      <c r="J1" s="565"/>
      <c r="K1" s="565"/>
      <c r="L1" s="565"/>
      <c r="M1" s="565"/>
      <c r="N1" s="565"/>
      <c r="O1" s="565"/>
      <c r="P1" s="565"/>
      <c r="Q1" s="565"/>
      <c r="R1" s="565"/>
      <c r="S1" s="565"/>
      <c r="T1" s="566"/>
    </row>
    <row r="2" spans="2:20" x14ac:dyDescent="0.25">
      <c r="D2" s="76"/>
      <c r="E2" s="3"/>
      <c r="F2" s="3"/>
      <c r="G2" s="3"/>
      <c r="H2" s="3" t="s">
        <v>41</v>
      </c>
      <c r="I2" s="3" t="s">
        <v>42</v>
      </c>
      <c r="J2" s="3" t="s">
        <v>43</v>
      </c>
      <c r="K2" s="3" t="s">
        <v>44</v>
      </c>
      <c r="L2" s="3" t="s">
        <v>45</v>
      </c>
      <c r="M2" s="3" t="s">
        <v>46</v>
      </c>
      <c r="N2" s="3" t="s">
        <v>47</v>
      </c>
      <c r="O2" s="3" t="s">
        <v>115</v>
      </c>
      <c r="P2" s="3" t="s">
        <v>49</v>
      </c>
      <c r="Q2" s="3" t="s">
        <v>50</v>
      </c>
      <c r="R2" s="3" t="s">
        <v>51</v>
      </c>
      <c r="S2" s="3" t="s">
        <v>52</v>
      </c>
      <c r="T2" s="15" t="s">
        <v>53</v>
      </c>
    </row>
    <row r="3" spans="2:20" x14ac:dyDescent="0.25">
      <c r="D3" s="572" t="s">
        <v>209</v>
      </c>
      <c r="E3" s="573"/>
      <c r="F3" s="573"/>
      <c r="G3" s="573"/>
      <c r="H3" s="67">
        <f t="shared" ref="H3:H31" si="0">SUM(I3:T3)</f>
        <v>10220</v>
      </c>
      <c r="I3" s="68">
        <v>0</v>
      </c>
      <c r="J3" s="68">
        <v>0</v>
      </c>
      <c r="K3" s="68">
        <v>0</v>
      </c>
      <c r="L3" s="68">
        <v>0</v>
      </c>
      <c r="M3" s="68">
        <v>0</v>
      </c>
      <c r="N3" s="68">
        <v>1460</v>
      </c>
      <c r="O3" s="68">
        <v>1460</v>
      </c>
      <c r="P3" s="68">
        <v>1460</v>
      </c>
      <c r="Q3" s="68">
        <v>1460</v>
      </c>
      <c r="R3" s="68">
        <v>1460</v>
      </c>
      <c r="S3" s="68">
        <v>1460</v>
      </c>
      <c r="T3" s="77">
        <v>1460</v>
      </c>
    </row>
    <row r="4" spans="2:20" ht="12.75" customHeight="1" x14ac:dyDescent="0.25">
      <c r="D4" s="574"/>
      <c r="E4" s="575"/>
      <c r="F4" s="575"/>
      <c r="G4" s="575"/>
      <c r="H4" s="575"/>
      <c r="I4" s="575"/>
      <c r="J4" s="575"/>
      <c r="K4" s="575"/>
      <c r="L4" s="575"/>
      <c r="M4" s="575"/>
      <c r="N4" s="575"/>
      <c r="O4" s="575"/>
      <c r="P4" s="575"/>
      <c r="Q4" s="575"/>
      <c r="R4" s="575"/>
      <c r="S4" s="575"/>
      <c r="T4" s="576"/>
    </row>
    <row r="5" spans="2:20" x14ac:dyDescent="0.25">
      <c r="D5" s="85" t="s">
        <v>199</v>
      </c>
      <c r="E5" s="86"/>
      <c r="F5" s="87"/>
      <c r="G5" s="87"/>
      <c r="H5" s="91">
        <f>SUM(I5:T5)</f>
        <v>7200.6400000000012</v>
      </c>
      <c r="I5" s="92">
        <f>SUM(I6:I33)</f>
        <v>1381.72</v>
      </c>
      <c r="J5" s="92">
        <f t="shared" ref="J5:T5" si="1">SUM(J6:J33)</f>
        <v>181.72</v>
      </c>
      <c r="K5" s="92">
        <f t="shared" si="1"/>
        <v>181.72</v>
      </c>
      <c r="L5" s="92">
        <f t="shared" si="1"/>
        <v>181.72</v>
      </c>
      <c r="M5" s="92">
        <f t="shared" si="1"/>
        <v>181.72</v>
      </c>
      <c r="N5" s="92">
        <f t="shared" si="1"/>
        <v>3041.7200000000003</v>
      </c>
      <c r="O5" s="92">
        <f t="shared" si="1"/>
        <v>341.72</v>
      </c>
      <c r="P5" s="92">
        <f t="shared" si="1"/>
        <v>341.72</v>
      </c>
      <c r="Q5" s="92">
        <f t="shared" si="1"/>
        <v>341.72</v>
      </c>
      <c r="R5" s="92">
        <f t="shared" si="1"/>
        <v>341.72</v>
      </c>
      <c r="S5" s="92">
        <f t="shared" si="1"/>
        <v>341.72</v>
      </c>
      <c r="T5" s="93">
        <f t="shared" si="1"/>
        <v>341.72</v>
      </c>
    </row>
    <row r="6" spans="2:20" x14ac:dyDescent="0.25">
      <c r="D6" s="79" t="s">
        <v>200</v>
      </c>
      <c r="E6" s="78"/>
      <c r="F6" s="69"/>
      <c r="G6" s="69"/>
      <c r="H6" s="89">
        <f t="shared" si="0"/>
        <v>0</v>
      </c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94"/>
    </row>
    <row r="7" spans="2:20" x14ac:dyDescent="0.25">
      <c r="D7" s="79" t="s">
        <v>68</v>
      </c>
      <c r="E7" s="78"/>
      <c r="F7" s="69"/>
      <c r="G7" s="69"/>
      <c r="H7" s="89">
        <f t="shared" si="0"/>
        <v>1200</v>
      </c>
      <c r="I7" s="88">
        <v>1200</v>
      </c>
      <c r="J7" s="88"/>
      <c r="K7" s="88"/>
      <c r="L7" s="88"/>
      <c r="M7" s="88"/>
      <c r="N7" s="88"/>
      <c r="O7" s="88"/>
      <c r="P7" s="88"/>
      <c r="Q7" s="88"/>
      <c r="R7" s="88"/>
      <c r="S7" s="88"/>
      <c r="T7" s="94"/>
    </row>
    <row r="8" spans="2:20" x14ac:dyDescent="0.25">
      <c r="D8" s="79" t="s">
        <v>210</v>
      </c>
      <c r="E8" s="78"/>
      <c r="F8" s="69"/>
      <c r="G8" s="69"/>
      <c r="H8" s="89">
        <f t="shared" si="0"/>
        <v>2180.64</v>
      </c>
      <c r="I8" s="88">
        <v>181.72</v>
      </c>
      <c r="J8" s="88">
        <v>181.72</v>
      </c>
      <c r="K8" s="88">
        <v>181.72</v>
      </c>
      <c r="L8" s="88">
        <v>181.72</v>
      </c>
      <c r="M8" s="88">
        <v>181.72</v>
      </c>
      <c r="N8" s="88">
        <v>181.72</v>
      </c>
      <c r="O8" s="88">
        <v>181.72</v>
      </c>
      <c r="P8" s="88">
        <v>181.72</v>
      </c>
      <c r="Q8" s="88">
        <v>181.72</v>
      </c>
      <c r="R8" s="88">
        <v>181.72</v>
      </c>
      <c r="S8" s="88">
        <v>181.72</v>
      </c>
      <c r="T8" s="94">
        <v>181.72</v>
      </c>
    </row>
    <row r="9" spans="2:20" x14ac:dyDescent="0.25">
      <c r="D9" s="79" t="s">
        <v>78</v>
      </c>
      <c r="E9" s="78"/>
      <c r="F9" s="69"/>
      <c r="G9" s="69"/>
      <c r="H9" s="89">
        <f t="shared" si="0"/>
        <v>0</v>
      </c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94"/>
    </row>
    <row r="10" spans="2:20" hidden="1" x14ac:dyDescent="0.25">
      <c r="D10" s="80" t="s">
        <v>80</v>
      </c>
      <c r="E10" s="78"/>
      <c r="F10" s="71"/>
      <c r="G10" s="71"/>
      <c r="H10" s="89">
        <f t="shared" si="0"/>
        <v>0</v>
      </c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94"/>
    </row>
    <row r="11" spans="2:20" hidden="1" x14ac:dyDescent="0.25">
      <c r="D11" s="79" t="s">
        <v>139</v>
      </c>
      <c r="E11" s="78"/>
      <c r="F11" s="69"/>
      <c r="G11" s="69"/>
      <c r="H11" s="89">
        <f t="shared" si="0"/>
        <v>0</v>
      </c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94"/>
    </row>
    <row r="12" spans="2:20" hidden="1" x14ac:dyDescent="0.25">
      <c r="D12" s="79" t="s">
        <v>140</v>
      </c>
      <c r="E12" s="78"/>
      <c r="F12" s="69"/>
      <c r="G12" s="69"/>
      <c r="H12" s="89">
        <f t="shared" si="0"/>
        <v>0</v>
      </c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94"/>
    </row>
    <row r="13" spans="2:20" hidden="1" x14ac:dyDescent="0.25">
      <c r="D13" s="79" t="s">
        <v>197</v>
      </c>
      <c r="E13" s="78"/>
      <c r="F13" s="69"/>
      <c r="G13" s="69"/>
      <c r="H13" s="89">
        <f t="shared" si="0"/>
        <v>0</v>
      </c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94"/>
    </row>
    <row r="14" spans="2:20" hidden="1" x14ac:dyDescent="0.25">
      <c r="D14" s="79" t="s">
        <v>142</v>
      </c>
      <c r="E14" s="78"/>
      <c r="F14" s="69"/>
      <c r="G14" s="69"/>
      <c r="H14" s="89">
        <f t="shared" si="0"/>
        <v>0</v>
      </c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94"/>
    </row>
    <row r="15" spans="2:20" x14ac:dyDescent="0.25">
      <c r="D15" s="79"/>
      <c r="E15" s="78"/>
      <c r="F15" s="69"/>
      <c r="G15" s="69"/>
      <c r="H15" s="89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94"/>
    </row>
    <row r="16" spans="2:20" x14ac:dyDescent="0.25">
      <c r="B16" t="s">
        <v>89</v>
      </c>
      <c r="D16" s="79" t="s">
        <v>88</v>
      </c>
      <c r="E16" s="78"/>
      <c r="F16" s="69"/>
      <c r="G16" s="69"/>
      <c r="H16" s="89">
        <f t="shared" si="0"/>
        <v>700</v>
      </c>
      <c r="I16" s="88"/>
      <c r="J16" s="88"/>
      <c r="K16" s="88"/>
      <c r="L16" s="88"/>
      <c r="M16" s="88"/>
      <c r="N16" s="98">
        <v>700</v>
      </c>
      <c r="O16" s="88"/>
      <c r="P16" s="88"/>
      <c r="Q16" s="88"/>
      <c r="R16" s="88"/>
      <c r="S16" s="88"/>
      <c r="T16" s="94"/>
    </row>
    <row r="17" spans="4:20" x14ac:dyDescent="0.25">
      <c r="D17" s="79" t="s">
        <v>90</v>
      </c>
      <c r="E17" s="78"/>
      <c r="F17" s="69"/>
      <c r="G17" s="69"/>
      <c r="H17" s="89">
        <f t="shared" si="0"/>
        <v>1120</v>
      </c>
      <c r="I17" s="88">
        <v>0</v>
      </c>
      <c r="J17" s="88">
        <v>0</v>
      </c>
      <c r="K17" s="88">
        <v>0</v>
      </c>
      <c r="L17" s="88">
        <v>0</v>
      </c>
      <c r="M17" s="88">
        <v>0</v>
      </c>
      <c r="N17" s="88">
        <v>160</v>
      </c>
      <c r="O17" s="88">
        <v>160</v>
      </c>
      <c r="P17" s="88">
        <v>160</v>
      </c>
      <c r="Q17" s="88">
        <v>160</v>
      </c>
      <c r="R17" s="88">
        <v>160</v>
      </c>
      <c r="S17" s="88">
        <v>160</v>
      </c>
      <c r="T17" s="94">
        <v>160</v>
      </c>
    </row>
    <row r="18" spans="4:20" x14ac:dyDescent="0.25">
      <c r="D18" s="79" t="s">
        <v>91</v>
      </c>
      <c r="E18" s="78"/>
      <c r="F18" s="69"/>
      <c r="G18" s="69"/>
      <c r="H18" s="89">
        <f t="shared" si="0"/>
        <v>0</v>
      </c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94"/>
    </row>
    <row r="19" spans="4:20" x14ac:dyDescent="0.25">
      <c r="D19" s="79" t="s">
        <v>120</v>
      </c>
      <c r="E19" s="78"/>
      <c r="F19" s="69"/>
      <c r="G19" s="69"/>
      <c r="H19" s="89">
        <f t="shared" si="0"/>
        <v>0</v>
      </c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94"/>
    </row>
    <row r="20" spans="4:20" x14ac:dyDescent="0.25">
      <c r="D20" s="79" t="s">
        <v>211</v>
      </c>
      <c r="E20" s="78"/>
      <c r="F20" s="69"/>
      <c r="G20" s="69"/>
      <c r="H20" s="90">
        <f t="shared" si="0"/>
        <v>0</v>
      </c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94"/>
    </row>
    <row r="21" spans="4:20" x14ac:dyDescent="0.25">
      <c r="D21" s="81" t="str">
        <f>D1&amp;" IRS rate"</f>
        <v>2022 IRS rate</v>
      </c>
      <c r="E21" s="82">
        <v>0.56000000000000005</v>
      </c>
      <c r="F21" s="69"/>
      <c r="G21" s="69"/>
      <c r="H21" s="90">
        <f t="shared" si="0"/>
        <v>0</v>
      </c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94"/>
    </row>
    <row r="22" spans="4:20" x14ac:dyDescent="0.25">
      <c r="D22" s="79"/>
      <c r="E22" s="83"/>
      <c r="F22" s="69"/>
      <c r="G22" s="69"/>
      <c r="H22" s="90">
        <f t="shared" si="0"/>
        <v>0</v>
      </c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94"/>
    </row>
    <row r="23" spans="4:20" hidden="1" x14ac:dyDescent="0.25">
      <c r="D23" s="79" t="s">
        <v>93</v>
      </c>
      <c r="E23" s="78"/>
      <c r="F23" s="72"/>
      <c r="G23" s="72"/>
      <c r="H23" s="90">
        <f t="shared" si="0"/>
        <v>0</v>
      </c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94"/>
    </row>
    <row r="24" spans="4:20" hidden="1" x14ac:dyDescent="0.25">
      <c r="D24" s="79" t="s">
        <v>95</v>
      </c>
      <c r="E24" s="78"/>
      <c r="F24" s="72"/>
      <c r="G24" s="72"/>
      <c r="H24" s="90">
        <f t="shared" si="0"/>
        <v>0</v>
      </c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94"/>
    </row>
    <row r="25" spans="4:20" hidden="1" x14ac:dyDescent="0.25">
      <c r="D25" s="79" t="s">
        <v>97</v>
      </c>
      <c r="E25" s="78"/>
      <c r="F25" s="72"/>
      <c r="G25" s="72"/>
      <c r="H25" s="90">
        <f t="shared" si="0"/>
        <v>0</v>
      </c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94"/>
    </row>
    <row r="26" spans="4:20" hidden="1" x14ac:dyDescent="0.25">
      <c r="D26" s="84" t="s">
        <v>99</v>
      </c>
      <c r="E26" s="73"/>
      <c r="F26" s="74"/>
      <c r="G26" s="74"/>
      <c r="H26" s="90">
        <f t="shared" si="0"/>
        <v>0</v>
      </c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94"/>
    </row>
    <row r="27" spans="4:20" x14ac:dyDescent="0.25">
      <c r="D27" s="79" t="s">
        <v>212</v>
      </c>
      <c r="E27" s="78"/>
      <c r="F27" s="72"/>
      <c r="G27" s="72"/>
      <c r="H27" s="90">
        <f t="shared" si="0"/>
        <v>2000</v>
      </c>
      <c r="I27" s="88"/>
      <c r="J27" s="88"/>
      <c r="K27" s="88"/>
      <c r="L27" s="88"/>
      <c r="M27" s="88"/>
      <c r="N27" s="88">
        <v>2000</v>
      </c>
      <c r="O27" s="88"/>
      <c r="P27" s="88"/>
      <c r="Q27" s="88"/>
      <c r="R27" s="88"/>
      <c r="S27" s="88"/>
      <c r="T27" s="94"/>
    </row>
    <row r="28" spans="4:20" x14ac:dyDescent="0.25">
      <c r="D28" s="19"/>
      <c r="F28" s="29"/>
      <c r="G28" s="29"/>
      <c r="H28" s="90">
        <f t="shared" si="0"/>
        <v>0</v>
      </c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94"/>
    </row>
    <row r="29" spans="4:20" x14ac:dyDescent="0.25">
      <c r="D29" s="19"/>
      <c r="F29" s="29"/>
      <c r="G29" s="29"/>
      <c r="H29" s="90">
        <f t="shared" si="0"/>
        <v>0</v>
      </c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94"/>
    </row>
    <row r="30" spans="4:20" x14ac:dyDescent="0.25">
      <c r="D30" s="19"/>
      <c r="F30" s="29"/>
      <c r="G30" s="29"/>
      <c r="H30" s="90">
        <f t="shared" si="0"/>
        <v>0</v>
      </c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94"/>
    </row>
    <row r="31" spans="4:20" x14ac:dyDescent="0.25">
      <c r="D31" s="20"/>
      <c r="E31" s="21"/>
      <c r="F31" s="30"/>
      <c r="G31" s="30"/>
      <c r="H31" s="97">
        <f t="shared" si="0"/>
        <v>0</v>
      </c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6"/>
    </row>
    <row r="34" spans="10:14" x14ac:dyDescent="0.25">
      <c r="J34" s="70"/>
    </row>
    <row r="42" spans="10:14" x14ac:dyDescent="0.25">
      <c r="N42" s="70"/>
    </row>
  </sheetData>
  <mergeCells count="3">
    <mergeCell ref="I1:T1"/>
    <mergeCell ref="D3:G3"/>
    <mergeCell ref="D4:T4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36A36-73B7-4101-A68A-90A6855F5D85}">
  <sheetPr>
    <tabColor theme="8" tint="-0.499984740745262"/>
  </sheetPr>
  <dimension ref="B1:T42"/>
  <sheetViews>
    <sheetView topLeftCell="C1" workbookViewId="0">
      <selection activeCell="D1" sqref="D1"/>
    </sheetView>
  </sheetViews>
  <sheetFormatPr defaultRowHeight="15" x14ac:dyDescent="0.25"/>
  <cols>
    <col min="1" max="1" width="0" hidden="1" customWidth="1"/>
    <col min="2" max="2" width="13.5703125" hidden="1" customWidth="1"/>
    <col min="3" max="3" width="13.5703125" customWidth="1"/>
    <col min="4" max="4" width="24.85546875" customWidth="1"/>
    <col min="5" max="5" width="9.28515625" bestFit="1" customWidth="1"/>
    <col min="6" max="6" width="12.5703125" style="1" bestFit="1" customWidth="1"/>
    <col min="7" max="7" width="12.5703125" style="1" customWidth="1"/>
    <col min="8" max="8" width="13.42578125" style="42" bestFit="1" customWidth="1"/>
    <col min="9" max="9" width="12.28515625" bestFit="1" customWidth="1"/>
    <col min="10" max="10" width="11" bestFit="1" customWidth="1"/>
    <col min="11" max="13" width="11.5703125" bestFit="1" customWidth="1"/>
    <col min="14" max="20" width="12.28515625" bestFit="1" customWidth="1"/>
  </cols>
  <sheetData>
    <row r="1" spans="2:20" x14ac:dyDescent="0.25">
      <c r="D1" s="75">
        <f>Summary!I5</f>
        <v>2021</v>
      </c>
      <c r="E1" s="13"/>
      <c r="F1" s="24"/>
      <c r="G1" s="24"/>
      <c r="H1" s="41"/>
      <c r="I1" s="565" t="str">
        <f>"Olympic Court Condo "&amp;D1&amp;" ONLY"</f>
        <v>Olympic Court Condo 2021 ONLY</v>
      </c>
      <c r="J1" s="565"/>
      <c r="K1" s="565"/>
      <c r="L1" s="565"/>
      <c r="M1" s="565"/>
      <c r="N1" s="565"/>
      <c r="O1" s="565"/>
      <c r="P1" s="565"/>
      <c r="Q1" s="565"/>
      <c r="R1" s="565"/>
      <c r="S1" s="565"/>
      <c r="T1" s="566"/>
    </row>
    <row r="2" spans="2:20" ht="15.75" thickBot="1" x14ac:dyDescent="0.3">
      <c r="D2" s="76"/>
      <c r="E2" s="3"/>
      <c r="F2" s="3"/>
      <c r="G2" s="3"/>
      <c r="H2" s="3" t="s">
        <v>41</v>
      </c>
      <c r="I2" s="3" t="s">
        <v>42</v>
      </c>
      <c r="J2" s="3" t="s">
        <v>43</v>
      </c>
      <c r="K2" s="3" t="s">
        <v>44</v>
      </c>
      <c r="L2" s="3" t="s">
        <v>45</v>
      </c>
      <c r="M2" s="3" t="s">
        <v>46</v>
      </c>
      <c r="N2" s="3" t="s">
        <v>47</v>
      </c>
      <c r="O2" s="3" t="s">
        <v>115</v>
      </c>
      <c r="P2" s="3" t="s">
        <v>49</v>
      </c>
      <c r="Q2" s="3" t="s">
        <v>50</v>
      </c>
      <c r="R2" s="3" t="s">
        <v>51</v>
      </c>
      <c r="S2" s="3" t="s">
        <v>52</v>
      </c>
      <c r="T2" s="15" t="s">
        <v>53</v>
      </c>
    </row>
    <row r="3" spans="2:20" ht="15.75" thickBot="1" x14ac:dyDescent="0.3">
      <c r="D3" s="572" t="s">
        <v>209</v>
      </c>
      <c r="E3" s="573"/>
      <c r="F3" s="573"/>
      <c r="G3" s="573"/>
      <c r="H3" s="67">
        <f t="shared" ref="H3:H31" si="0">SUM(I3:T3)</f>
        <v>10220</v>
      </c>
      <c r="I3" s="68">
        <v>0</v>
      </c>
      <c r="J3" s="68">
        <v>0</v>
      </c>
      <c r="K3" s="68">
        <v>0</v>
      </c>
      <c r="L3" s="68">
        <v>0</v>
      </c>
      <c r="M3" s="68">
        <v>0</v>
      </c>
      <c r="N3" s="68">
        <v>1460</v>
      </c>
      <c r="O3" s="68">
        <v>1460</v>
      </c>
      <c r="P3" s="68">
        <v>1460</v>
      </c>
      <c r="Q3" s="68">
        <v>1460</v>
      </c>
      <c r="R3" s="68">
        <v>1460</v>
      </c>
      <c r="S3" s="68">
        <v>1460</v>
      </c>
      <c r="T3" s="77">
        <v>1460</v>
      </c>
    </row>
    <row r="4" spans="2:20" ht="12.75" customHeight="1" thickBot="1" x14ac:dyDescent="0.3">
      <c r="D4" s="574"/>
      <c r="E4" s="575"/>
      <c r="F4" s="575"/>
      <c r="G4" s="575"/>
      <c r="H4" s="575"/>
      <c r="I4" s="575"/>
      <c r="J4" s="575"/>
      <c r="K4" s="575"/>
      <c r="L4" s="575"/>
      <c r="M4" s="575"/>
      <c r="N4" s="575"/>
      <c r="O4" s="575"/>
      <c r="P4" s="575"/>
      <c r="Q4" s="575"/>
      <c r="R4" s="575"/>
      <c r="S4" s="575"/>
      <c r="T4" s="576"/>
    </row>
    <row r="5" spans="2:20" x14ac:dyDescent="0.25">
      <c r="D5" s="85" t="s">
        <v>199</v>
      </c>
      <c r="E5" s="86"/>
      <c r="F5" s="87"/>
      <c r="G5" s="87"/>
      <c r="H5" s="91">
        <f>SUM(I5:T5)</f>
        <v>7200.6400000000012</v>
      </c>
      <c r="I5" s="92">
        <f>SUM(I6:I33)</f>
        <v>1381.72</v>
      </c>
      <c r="J5" s="92">
        <f t="shared" ref="J5:T5" si="1">SUM(J6:J33)</f>
        <v>181.72</v>
      </c>
      <c r="K5" s="92">
        <f t="shared" si="1"/>
        <v>181.72</v>
      </c>
      <c r="L5" s="92">
        <f t="shared" si="1"/>
        <v>181.72</v>
      </c>
      <c r="M5" s="92">
        <f t="shared" si="1"/>
        <v>181.72</v>
      </c>
      <c r="N5" s="92">
        <f t="shared" si="1"/>
        <v>3041.7200000000003</v>
      </c>
      <c r="O5" s="92">
        <f t="shared" si="1"/>
        <v>341.72</v>
      </c>
      <c r="P5" s="92">
        <f t="shared" si="1"/>
        <v>341.72</v>
      </c>
      <c r="Q5" s="92">
        <f t="shared" si="1"/>
        <v>341.72</v>
      </c>
      <c r="R5" s="92">
        <f t="shared" si="1"/>
        <v>341.72</v>
      </c>
      <c r="S5" s="92">
        <f t="shared" si="1"/>
        <v>341.72</v>
      </c>
      <c r="T5" s="93">
        <f t="shared" si="1"/>
        <v>341.72</v>
      </c>
    </row>
    <row r="6" spans="2:20" x14ac:dyDescent="0.25">
      <c r="D6" s="79" t="s">
        <v>200</v>
      </c>
      <c r="E6" s="78"/>
      <c r="F6" s="69"/>
      <c r="G6" s="69"/>
      <c r="H6" s="89">
        <f t="shared" si="0"/>
        <v>0</v>
      </c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94"/>
    </row>
    <row r="7" spans="2:20" x14ac:dyDescent="0.25">
      <c r="D7" s="79" t="s">
        <v>68</v>
      </c>
      <c r="E7" s="78"/>
      <c r="F7" s="69"/>
      <c r="G7" s="69"/>
      <c r="H7" s="89">
        <f t="shared" si="0"/>
        <v>1200</v>
      </c>
      <c r="I7" s="88">
        <v>1200</v>
      </c>
      <c r="J7" s="88"/>
      <c r="K7" s="88"/>
      <c r="L7" s="88"/>
      <c r="M7" s="88"/>
      <c r="N7" s="88"/>
      <c r="O7" s="88"/>
      <c r="P7" s="88"/>
      <c r="Q7" s="88"/>
      <c r="R7" s="88"/>
      <c r="S7" s="88"/>
      <c r="T7" s="94"/>
    </row>
    <row r="8" spans="2:20" x14ac:dyDescent="0.25">
      <c r="D8" s="79" t="s">
        <v>210</v>
      </c>
      <c r="E8" s="78"/>
      <c r="F8" s="69"/>
      <c r="G8" s="69"/>
      <c r="H8" s="89">
        <f t="shared" si="0"/>
        <v>2180.64</v>
      </c>
      <c r="I8" s="88">
        <v>181.72</v>
      </c>
      <c r="J8" s="88">
        <v>181.72</v>
      </c>
      <c r="K8" s="88">
        <v>181.72</v>
      </c>
      <c r="L8" s="88">
        <v>181.72</v>
      </c>
      <c r="M8" s="88">
        <v>181.72</v>
      </c>
      <c r="N8" s="88">
        <v>181.72</v>
      </c>
      <c r="O8" s="88">
        <v>181.72</v>
      </c>
      <c r="P8" s="88">
        <v>181.72</v>
      </c>
      <c r="Q8" s="88">
        <v>181.72</v>
      </c>
      <c r="R8" s="88">
        <v>181.72</v>
      </c>
      <c r="S8" s="88">
        <v>181.72</v>
      </c>
      <c r="T8" s="94">
        <v>181.72</v>
      </c>
    </row>
    <row r="9" spans="2:20" x14ac:dyDescent="0.25">
      <c r="D9" s="79" t="s">
        <v>78</v>
      </c>
      <c r="E9" s="78"/>
      <c r="F9" s="69"/>
      <c r="G9" s="69"/>
      <c r="H9" s="89">
        <f t="shared" si="0"/>
        <v>0</v>
      </c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94"/>
    </row>
    <row r="10" spans="2:20" hidden="1" x14ac:dyDescent="0.25">
      <c r="D10" s="80" t="s">
        <v>80</v>
      </c>
      <c r="E10" s="78"/>
      <c r="F10" s="71"/>
      <c r="G10" s="71"/>
      <c r="H10" s="89">
        <f t="shared" si="0"/>
        <v>0</v>
      </c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94"/>
    </row>
    <row r="11" spans="2:20" hidden="1" x14ac:dyDescent="0.25">
      <c r="D11" s="79" t="s">
        <v>139</v>
      </c>
      <c r="E11" s="78"/>
      <c r="F11" s="69"/>
      <c r="G11" s="69"/>
      <c r="H11" s="89">
        <f t="shared" si="0"/>
        <v>0</v>
      </c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94"/>
    </row>
    <row r="12" spans="2:20" hidden="1" x14ac:dyDescent="0.25">
      <c r="D12" s="79" t="s">
        <v>140</v>
      </c>
      <c r="E12" s="78"/>
      <c r="F12" s="69"/>
      <c r="G12" s="69"/>
      <c r="H12" s="89">
        <f t="shared" si="0"/>
        <v>0</v>
      </c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94"/>
    </row>
    <row r="13" spans="2:20" hidden="1" x14ac:dyDescent="0.25">
      <c r="D13" s="79" t="s">
        <v>197</v>
      </c>
      <c r="E13" s="78"/>
      <c r="F13" s="69"/>
      <c r="G13" s="69"/>
      <c r="H13" s="89">
        <f t="shared" si="0"/>
        <v>0</v>
      </c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94"/>
    </row>
    <row r="14" spans="2:20" hidden="1" x14ac:dyDescent="0.25">
      <c r="D14" s="79" t="s">
        <v>142</v>
      </c>
      <c r="E14" s="78"/>
      <c r="F14" s="69"/>
      <c r="G14" s="69"/>
      <c r="H14" s="89">
        <f t="shared" si="0"/>
        <v>0</v>
      </c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94"/>
    </row>
    <row r="15" spans="2:20" x14ac:dyDescent="0.25">
      <c r="D15" s="79"/>
      <c r="E15" s="78"/>
      <c r="F15" s="69"/>
      <c r="G15" s="69"/>
      <c r="H15" s="89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94"/>
    </row>
    <row r="16" spans="2:20" x14ac:dyDescent="0.25">
      <c r="B16" t="s">
        <v>89</v>
      </c>
      <c r="D16" s="79" t="s">
        <v>88</v>
      </c>
      <c r="E16" s="78"/>
      <c r="F16" s="69"/>
      <c r="G16" s="69"/>
      <c r="H16" s="89">
        <f t="shared" si="0"/>
        <v>700</v>
      </c>
      <c r="I16" s="88"/>
      <c r="J16" s="88"/>
      <c r="K16" s="88"/>
      <c r="L16" s="88"/>
      <c r="M16" s="88"/>
      <c r="N16" s="98">
        <v>700</v>
      </c>
      <c r="O16" s="88"/>
      <c r="P16" s="88"/>
      <c r="Q16" s="88"/>
      <c r="R16" s="88"/>
      <c r="S16" s="88"/>
      <c r="T16" s="94"/>
    </row>
    <row r="17" spans="4:20" x14ac:dyDescent="0.25">
      <c r="D17" s="79" t="s">
        <v>90</v>
      </c>
      <c r="E17" s="78"/>
      <c r="F17" s="69"/>
      <c r="G17" s="69"/>
      <c r="H17" s="89">
        <f t="shared" si="0"/>
        <v>1120</v>
      </c>
      <c r="I17" s="88">
        <v>0</v>
      </c>
      <c r="J17" s="88">
        <v>0</v>
      </c>
      <c r="K17" s="88">
        <v>0</v>
      </c>
      <c r="L17" s="88">
        <v>0</v>
      </c>
      <c r="M17" s="88">
        <v>0</v>
      </c>
      <c r="N17" s="88">
        <v>160</v>
      </c>
      <c r="O17" s="88">
        <v>160</v>
      </c>
      <c r="P17" s="88">
        <v>160</v>
      </c>
      <c r="Q17" s="88">
        <v>160</v>
      </c>
      <c r="R17" s="88">
        <v>160</v>
      </c>
      <c r="S17" s="88">
        <v>160</v>
      </c>
      <c r="T17" s="94">
        <v>160</v>
      </c>
    </row>
    <row r="18" spans="4:20" x14ac:dyDescent="0.25">
      <c r="D18" s="79" t="s">
        <v>91</v>
      </c>
      <c r="E18" s="78"/>
      <c r="F18" s="69"/>
      <c r="G18" s="69"/>
      <c r="H18" s="89">
        <f t="shared" si="0"/>
        <v>0</v>
      </c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94"/>
    </row>
    <row r="19" spans="4:20" x14ac:dyDescent="0.25">
      <c r="D19" s="79" t="s">
        <v>120</v>
      </c>
      <c r="E19" s="78"/>
      <c r="F19" s="69"/>
      <c r="G19" s="69"/>
      <c r="H19" s="89">
        <f t="shared" si="0"/>
        <v>0</v>
      </c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94"/>
    </row>
    <row r="20" spans="4:20" x14ac:dyDescent="0.25">
      <c r="D20" s="79" t="s">
        <v>211</v>
      </c>
      <c r="E20" s="78"/>
      <c r="F20" s="69"/>
      <c r="G20" s="69"/>
      <c r="H20" s="90">
        <f t="shared" si="0"/>
        <v>0</v>
      </c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94"/>
    </row>
    <row r="21" spans="4:20" x14ac:dyDescent="0.25">
      <c r="D21" s="81" t="str">
        <f>D1&amp;" IRS rate"</f>
        <v>2021 IRS rate</v>
      </c>
      <c r="E21" s="82">
        <v>0.56000000000000005</v>
      </c>
      <c r="F21" s="69"/>
      <c r="G21" s="69"/>
      <c r="H21" s="90">
        <f t="shared" si="0"/>
        <v>0</v>
      </c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94"/>
    </row>
    <row r="22" spans="4:20" x14ac:dyDescent="0.25">
      <c r="D22" s="79"/>
      <c r="E22" s="83"/>
      <c r="F22" s="69"/>
      <c r="G22" s="69"/>
      <c r="H22" s="90">
        <f t="shared" si="0"/>
        <v>0</v>
      </c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94"/>
    </row>
    <row r="23" spans="4:20" hidden="1" x14ac:dyDescent="0.25">
      <c r="D23" s="79" t="s">
        <v>93</v>
      </c>
      <c r="E23" s="78"/>
      <c r="F23" s="72"/>
      <c r="G23" s="72"/>
      <c r="H23" s="90">
        <f t="shared" si="0"/>
        <v>0</v>
      </c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94"/>
    </row>
    <row r="24" spans="4:20" hidden="1" x14ac:dyDescent="0.25">
      <c r="D24" s="79" t="s">
        <v>95</v>
      </c>
      <c r="E24" s="78"/>
      <c r="F24" s="72"/>
      <c r="G24" s="72"/>
      <c r="H24" s="90">
        <f t="shared" si="0"/>
        <v>0</v>
      </c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94"/>
    </row>
    <row r="25" spans="4:20" hidden="1" x14ac:dyDescent="0.25">
      <c r="D25" s="79" t="s">
        <v>97</v>
      </c>
      <c r="E25" s="78"/>
      <c r="F25" s="72"/>
      <c r="G25" s="72"/>
      <c r="H25" s="90">
        <f t="shared" si="0"/>
        <v>0</v>
      </c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94"/>
    </row>
    <row r="26" spans="4:20" ht="15.75" hidden="1" thickBot="1" x14ac:dyDescent="0.3">
      <c r="D26" s="84" t="s">
        <v>99</v>
      </c>
      <c r="E26" s="73"/>
      <c r="F26" s="74"/>
      <c r="G26" s="74"/>
      <c r="H26" s="90">
        <f t="shared" si="0"/>
        <v>0</v>
      </c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94"/>
    </row>
    <row r="27" spans="4:20" x14ac:dyDescent="0.25">
      <c r="D27" s="79" t="s">
        <v>212</v>
      </c>
      <c r="E27" s="78"/>
      <c r="F27" s="72"/>
      <c r="G27" s="72"/>
      <c r="H27" s="90">
        <f t="shared" si="0"/>
        <v>2000</v>
      </c>
      <c r="I27" s="88"/>
      <c r="J27" s="88"/>
      <c r="K27" s="88"/>
      <c r="L27" s="88"/>
      <c r="M27" s="88"/>
      <c r="N27" s="88">
        <v>2000</v>
      </c>
      <c r="O27" s="88"/>
      <c r="P27" s="88"/>
      <c r="Q27" s="88"/>
      <c r="R27" s="88"/>
      <c r="S27" s="88"/>
      <c r="T27" s="94"/>
    </row>
    <row r="28" spans="4:20" x14ac:dyDescent="0.25">
      <c r="D28" s="19"/>
      <c r="F28" s="29"/>
      <c r="G28" s="29"/>
      <c r="H28" s="90">
        <f t="shared" si="0"/>
        <v>0</v>
      </c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94"/>
    </row>
    <row r="29" spans="4:20" x14ac:dyDescent="0.25">
      <c r="D29" s="19"/>
      <c r="F29" s="29"/>
      <c r="G29" s="29"/>
      <c r="H29" s="90">
        <f t="shared" si="0"/>
        <v>0</v>
      </c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94"/>
    </row>
    <row r="30" spans="4:20" x14ac:dyDescent="0.25">
      <c r="D30" s="19"/>
      <c r="F30" s="29"/>
      <c r="G30" s="29"/>
      <c r="H30" s="90">
        <f t="shared" si="0"/>
        <v>0</v>
      </c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94"/>
    </row>
    <row r="31" spans="4:20" ht="15.75" thickBot="1" x14ac:dyDescent="0.3">
      <c r="D31" s="20"/>
      <c r="E31" s="21"/>
      <c r="F31" s="30"/>
      <c r="G31" s="30"/>
      <c r="H31" s="97">
        <f t="shared" si="0"/>
        <v>0</v>
      </c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6"/>
    </row>
    <row r="34" spans="10:14" x14ac:dyDescent="0.25">
      <c r="J34" s="70"/>
    </row>
    <row r="42" spans="10:14" x14ac:dyDescent="0.25">
      <c r="N42" s="70"/>
    </row>
  </sheetData>
  <mergeCells count="3">
    <mergeCell ref="I1:T1"/>
    <mergeCell ref="D3:G3"/>
    <mergeCell ref="D4:T4"/>
  </mergeCells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826F5-9945-4D76-AF64-F4135007151F}">
  <sheetPr>
    <tabColor theme="8" tint="-0.499984740745262"/>
  </sheetPr>
  <dimension ref="B1:T42"/>
  <sheetViews>
    <sheetView topLeftCell="C1" workbookViewId="0">
      <selection activeCell="I1" sqref="I1"/>
    </sheetView>
  </sheetViews>
  <sheetFormatPr defaultRowHeight="15" x14ac:dyDescent="0.25"/>
  <cols>
    <col min="1" max="1" width="0" hidden="1" customWidth="1"/>
    <col min="2" max="2" width="13.5703125" hidden="1" customWidth="1"/>
    <col min="3" max="3" width="13.5703125" customWidth="1"/>
    <col min="4" max="4" width="24.85546875" customWidth="1"/>
    <col min="5" max="5" width="9.28515625" bestFit="1" customWidth="1"/>
    <col min="6" max="6" width="12.5703125" style="1" bestFit="1" customWidth="1"/>
    <col min="7" max="7" width="12.5703125" style="1" customWidth="1"/>
    <col min="8" max="8" width="13.42578125" style="42" bestFit="1" customWidth="1"/>
    <col min="9" max="9" width="12.28515625" bestFit="1" customWidth="1"/>
    <col min="10" max="10" width="11" bestFit="1" customWidth="1"/>
    <col min="11" max="13" width="11.5703125" bestFit="1" customWidth="1"/>
    <col min="14" max="20" width="12.28515625" bestFit="1" customWidth="1"/>
  </cols>
  <sheetData>
    <row r="1" spans="2:20" x14ac:dyDescent="0.25">
      <c r="D1" s="75">
        <f>Summary!J5</f>
        <v>2020</v>
      </c>
      <c r="E1" s="13"/>
      <c r="F1" s="24"/>
      <c r="G1" s="24"/>
      <c r="H1" s="41"/>
      <c r="I1" s="565" t="str">
        <f>"Olympic Court Condo "&amp;D1&amp;" ONLY"</f>
        <v>Olympic Court Condo 2020 ONLY</v>
      </c>
      <c r="J1" s="565"/>
      <c r="K1" s="565"/>
      <c r="L1" s="565"/>
      <c r="M1" s="565"/>
      <c r="N1" s="565"/>
      <c r="O1" s="565"/>
      <c r="P1" s="565"/>
      <c r="Q1" s="565"/>
      <c r="R1" s="565"/>
      <c r="S1" s="565"/>
      <c r="T1" s="566"/>
    </row>
    <row r="2" spans="2:20" ht="15.75" thickBot="1" x14ac:dyDescent="0.3">
      <c r="D2" s="76"/>
      <c r="E2" s="3"/>
      <c r="F2" s="3"/>
      <c r="G2" s="3"/>
      <c r="H2" s="3" t="s">
        <v>41</v>
      </c>
      <c r="I2" s="3" t="s">
        <v>42</v>
      </c>
      <c r="J2" s="3" t="s">
        <v>43</v>
      </c>
      <c r="K2" s="3" t="s">
        <v>44</v>
      </c>
      <c r="L2" s="3" t="s">
        <v>45</v>
      </c>
      <c r="M2" s="3" t="s">
        <v>46</v>
      </c>
      <c r="N2" s="3" t="s">
        <v>47</v>
      </c>
      <c r="O2" s="3" t="s">
        <v>115</v>
      </c>
      <c r="P2" s="3" t="s">
        <v>49</v>
      </c>
      <c r="Q2" s="3" t="s">
        <v>50</v>
      </c>
      <c r="R2" s="3" t="s">
        <v>51</v>
      </c>
      <c r="S2" s="3" t="s">
        <v>52</v>
      </c>
      <c r="T2" s="15" t="s">
        <v>53</v>
      </c>
    </row>
    <row r="3" spans="2:20" ht="15.75" thickBot="1" x14ac:dyDescent="0.3">
      <c r="D3" s="572" t="s">
        <v>209</v>
      </c>
      <c r="E3" s="573"/>
      <c r="F3" s="573"/>
      <c r="G3" s="573"/>
      <c r="H3" s="67">
        <f t="shared" ref="H3:H31" si="0">SUM(I3:T3)</f>
        <v>10220</v>
      </c>
      <c r="I3" s="68">
        <v>0</v>
      </c>
      <c r="J3" s="68">
        <v>0</v>
      </c>
      <c r="K3" s="68">
        <v>0</v>
      </c>
      <c r="L3" s="68">
        <v>0</v>
      </c>
      <c r="M3" s="68">
        <v>0</v>
      </c>
      <c r="N3" s="68">
        <v>1460</v>
      </c>
      <c r="O3" s="68">
        <v>1460</v>
      </c>
      <c r="P3" s="68">
        <v>1460</v>
      </c>
      <c r="Q3" s="68">
        <v>1460</v>
      </c>
      <c r="R3" s="68">
        <v>1460</v>
      </c>
      <c r="S3" s="68">
        <v>1460</v>
      </c>
      <c r="T3" s="77">
        <v>1460</v>
      </c>
    </row>
    <row r="4" spans="2:20" ht="12.75" customHeight="1" thickBot="1" x14ac:dyDescent="0.3">
      <c r="D4" s="574"/>
      <c r="E4" s="575"/>
      <c r="F4" s="575"/>
      <c r="G4" s="575"/>
      <c r="H4" s="575"/>
      <c r="I4" s="575"/>
      <c r="J4" s="575"/>
      <c r="K4" s="575"/>
      <c r="L4" s="575"/>
      <c r="M4" s="575"/>
      <c r="N4" s="575"/>
      <c r="O4" s="575"/>
      <c r="P4" s="575"/>
      <c r="Q4" s="575"/>
      <c r="R4" s="575"/>
      <c r="S4" s="575"/>
      <c r="T4" s="576"/>
    </row>
    <row r="5" spans="2:20" x14ac:dyDescent="0.25">
      <c r="D5" s="85" t="s">
        <v>199</v>
      </c>
      <c r="E5" s="86"/>
      <c r="F5" s="87"/>
      <c r="G5" s="87"/>
      <c r="H5" s="91">
        <f>SUM(I5:T5)</f>
        <v>7200.6400000000012</v>
      </c>
      <c r="I5" s="92">
        <f>SUM(I6:I33)</f>
        <v>1381.72</v>
      </c>
      <c r="J5" s="92">
        <f t="shared" ref="J5:T5" si="1">SUM(J6:J33)</f>
        <v>181.72</v>
      </c>
      <c r="K5" s="92">
        <f t="shared" si="1"/>
        <v>181.72</v>
      </c>
      <c r="L5" s="92">
        <f t="shared" si="1"/>
        <v>181.72</v>
      </c>
      <c r="M5" s="92">
        <f t="shared" si="1"/>
        <v>181.72</v>
      </c>
      <c r="N5" s="92">
        <f t="shared" si="1"/>
        <v>3041.7200000000003</v>
      </c>
      <c r="O5" s="92">
        <f t="shared" si="1"/>
        <v>341.72</v>
      </c>
      <c r="P5" s="92">
        <f t="shared" si="1"/>
        <v>341.72</v>
      </c>
      <c r="Q5" s="92">
        <f t="shared" si="1"/>
        <v>341.72</v>
      </c>
      <c r="R5" s="92">
        <f t="shared" si="1"/>
        <v>341.72</v>
      </c>
      <c r="S5" s="92">
        <f t="shared" si="1"/>
        <v>341.72</v>
      </c>
      <c r="T5" s="93">
        <f t="shared" si="1"/>
        <v>341.72</v>
      </c>
    </row>
    <row r="6" spans="2:20" x14ac:dyDescent="0.25">
      <c r="D6" s="79" t="s">
        <v>200</v>
      </c>
      <c r="E6" s="78"/>
      <c r="F6" s="69"/>
      <c r="G6" s="69"/>
      <c r="H6" s="89">
        <f t="shared" si="0"/>
        <v>0</v>
      </c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94"/>
    </row>
    <row r="7" spans="2:20" x14ac:dyDescent="0.25">
      <c r="D7" s="79" t="s">
        <v>68</v>
      </c>
      <c r="E7" s="78"/>
      <c r="F7" s="69"/>
      <c r="G7" s="69"/>
      <c r="H7" s="89">
        <f t="shared" si="0"/>
        <v>1200</v>
      </c>
      <c r="I7" s="88">
        <v>1200</v>
      </c>
      <c r="J7" s="88"/>
      <c r="K7" s="88"/>
      <c r="L7" s="88"/>
      <c r="M7" s="88"/>
      <c r="N7" s="88"/>
      <c r="O7" s="88"/>
      <c r="P7" s="88"/>
      <c r="Q7" s="88"/>
      <c r="R7" s="88"/>
      <c r="S7" s="88"/>
      <c r="T7" s="94"/>
    </row>
    <row r="8" spans="2:20" x14ac:dyDescent="0.25">
      <c r="D8" s="79" t="s">
        <v>210</v>
      </c>
      <c r="E8" s="78"/>
      <c r="F8" s="69"/>
      <c r="G8" s="69"/>
      <c r="H8" s="89">
        <f t="shared" si="0"/>
        <v>2180.64</v>
      </c>
      <c r="I8" s="88">
        <v>181.72</v>
      </c>
      <c r="J8" s="88">
        <v>181.72</v>
      </c>
      <c r="K8" s="88">
        <v>181.72</v>
      </c>
      <c r="L8" s="88">
        <v>181.72</v>
      </c>
      <c r="M8" s="88">
        <v>181.72</v>
      </c>
      <c r="N8" s="88">
        <v>181.72</v>
      </c>
      <c r="O8" s="88">
        <v>181.72</v>
      </c>
      <c r="P8" s="88">
        <v>181.72</v>
      </c>
      <c r="Q8" s="88">
        <v>181.72</v>
      </c>
      <c r="R8" s="88">
        <v>181.72</v>
      </c>
      <c r="S8" s="88">
        <v>181.72</v>
      </c>
      <c r="T8" s="94">
        <v>181.72</v>
      </c>
    </row>
    <row r="9" spans="2:20" x14ac:dyDescent="0.25">
      <c r="D9" s="79" t="s">
        <v>78</v>
      </c>
      <c r="E9" s="78"/>
      <c r="F9" s="69"/>
      <c r="G9" s="69"/>
      <c r="H9" s="89">
        <f t="shared" si="0"/>
        <v>0</v>
      </c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94"/>
    </row>
    <row r="10" spans="2:20" hidden="1" x14ac:dyDescent="0.25">
      <c r="D10" s="80" t="s">
        <v>80</v>
      </c>
      <c r="E10" s="78"/>
      <c r="F10" s="71"/>
      <c r="G10" s="71"/>
      <c r="H10" s="89">
        <f t="shared" si="0"/>
        <v>0</v>
      </c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94"/>
    </row>
    <row r="11" spans="2:20" hidden="1" x14ac:dyDescent="0.25">
      <c r="D11" s="79" t="s">
        <v>139</v>
      </c>
      <c r="E11" s="78"/>
      <c r="F11" s="69"/>
      <c r="G11" s="69"/>
      <c r="H11" s="89">
        <f t="shared" si="0"/>
        <v>0</v>
      </c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94"/>
    </row>
    <row r="12" spans="2:20" hidden="1" x14ac:dyDescent="0.25">
      <c r="D12" s="79" t="s">
        <v>140</v>
      </c>
      <c r="E12" s="78"/>
      <c r="F12" s="69"/>
      <c r="G12" s="69"/>
      <c r="H12" s="89">
        <f t="shared" si="0"/>
        <v>0</v>
      </c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94"/>
    </row>
    <row r="13" spans="2:20" hidden="1" x14ac:dyDescent="0.25">
      <c r="D13" s="79" t="s">
        <v>197</v>
      </c>
      <c r="E13" s="78"/>
      <c r="F13" s="69"/>
      <c r="G13" s="69"/>
      <c r="H13" s="89">
        <f t="shared" si="0"/>
        <v>0</v>
      </c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94"/>
    </row>
    <row r="14" spans="2:20" hidden="1" x14ac:dyDescent="0.25">
      <c r="D14" s="79" t="s">
        <v>142</v>
      </c>
      <c r="E14" s="78"/>
      <c r="F14" s="69"/>
      <c r="G14" s="69"/>
      <c r="H14" s="89">
        <f t="shared" si="0"/>
        <v>0</v>
      </c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94"/>
    </row>
    <row r="15" spans="2:20" x14ac:dyDescent="0.25">
      <c r="D15" s="79"/>
      <c r="E15" s="78"/>
      <c r="F15" s="69"/>
      <c r="G15" s="69"/>
      <c r="H15" s="89">
        <f t="shared" si="0"/>
        <v>0</v>
      </c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94"/>
    </row>
    <row r="16" spans="2:20" x14ac:dyDescent="0.25">
      <c r="B16" t="s">
        <v>89</v>
      </c>
      <c r="D16" s="79" t="s">
        <v>88</v>
      </c>
      <c r="E16" s="78"/>
      <c r="F16" s="69"/>
      <c r="G16" s="69"/>
      <c r="H16" s="89">
        <f t="shared" si="0"/>
        <v>700</v>
      </c>
      <c r="I16" s="88"/>
      <c r="J16" s="88"/>
      <c r="K16" s="88"/>
      <c r="L16" s="88"/>
      <c r="M16" s="88"/>
      <c r="N16" s="98">
        <v>700</v>
      </c>
      <c r="O16" s="88"/>
      <c r="P16" s="88"/>
      <c r="Q16" s="88"/>
      <c r="R16" s="88"/>
      <c r="S16" s="88"/>
      <c r="T16" s="94"/>
    </row>
    <row r="17" spans="4:20" x14ac:dyDescent="0.25">
      <c r="D17" s="79" t="s">
        <v>90</v>
      </c>
      <c r="E17" s="78"/>
      <c r="F17" s="69"/>
      <c r="G17" s="69"/>
      <c r="H17" s="89">
        <f t="shared" si="0"/>
        <v>1120</v>
      </c>
      <c r="I17" s="88">
        <v>0</v>
      </c>
      <c r="J17" s="88">
        <v>0</v>
      </c>
      <c r="K17" s="88">
        <v>0</v>
      </c>
      <c r="L17" s="88">
        <v>0</v>
      </c>
      <c r="M17" s="88">
        <v>0</v>
      </c>
      <c r="N17" s="88">
        <v>160</v>
      </c>
      <c r="O17" s="88">
        <v>160</v>
      </c>
      <c r="P17" s="88">
        <v>160</v>
      </c>
      <c r="Q17" s="88">
        <v>160</v>
      </c>
      <c r="R17" s="88">
        <v>160</v>
      </c>
      <c r="S17" s="88">
        <v>160</v>
      </c>
      <c r="T17" s="94">
        <v>160</v>
      </c>
    </row>
    <row r="18" spans="4:20" x14ac:dyDescent="0.25">
      <c r="D18" s="79" t="s">
        <v>91</v>
      </c>
      <c r="E18" s="78"/>
      <c r="F18" s="69"/>
      <c r="G18" s="69"/>
      <c r="H18" s="89">
        <f t="shared" si="0"/>
        <v>0</v>
      </c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94"/>
    </row>
    <row r="19" spans="4:20" x14ac:dyDescent="0.25">
      <c r="D19" s="79" t="s">
        <v>120</v>
      </c>
      <c r="E19" s="78"/>
      <c r="F19" s="69"/>
      <c r="G19" s="69"/>
      <c r="H19" s="89">
        <f t="shared" si="0"/>
        <v>0</v>
      </c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94"/>
    </row>
    <row r="20" spans="4:20" x14ac:dyDescent="0.25">
      <c r="D20" s="79" t="s">
        <v>211</v>
      </c>
      <c r="E20" s="78"/>
      <c r="F20" s="69"/>
      <c r="G20" s="69"/>
      <c r="H20" s="90">
        <f t="shared" si="0"/>
        <v>0</v>
      </c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94"/>
    </row>
    <row r="21" spans="4:20" x14ac:dyDescent="0.25">
      <c r="D21" s="81" t="str">
        <f>D1&amp;" IRS rate"</f>
        <v>2020 IRS rate</v>
      </c>
      <c r="E21" s="82">
        <v>0.56000000000000005</v>
      </c>
      <c r="F21" s="69"/>
      <c r="G21" s="69"/>
      <c r="H21" s="90">
        <f t="shared" si="0"/>
        <v>0</v>
      </c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94"/>
    </row>
    <row r="22" spans="4:20" x14ac:dyDescent="0.25">
      <c r="D22" s="79"/>
      <c r="E22" s="83"/>
      <c r="F22" s="69"/>
      <c r="G22" s="69"/>
      <c r="H22" s="90">
        <f t="shared" si="0"/>
        <v>0</v>
      </c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94"/>
    </row>
    <row r="23" spans="4:20" hidden="1" x14ac:dyDescent="0.25">
      <c r="D23" s="79" t="s">
        <v>93</v>
      </c>
      <c r="E23" s="78"/>
      <c r="F23" s="72"/>
      <c r="G23" s="72"/>
      <c r="H23" s="90">
        <f t="shared" si="0"/>
        <v>0</v>
      </c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94"/>
    </row>
    <row r="24" spans="4:20" hidden="1" x14ac:dyDescent="0.25">
      <c r="D24" s="79" t="s">
        <v>95</v>
      </c>
      <c r="E24" s="78"/>
      <c r="F24" s="72"/>
      <c r="G24" s="72"/>
      <c r="H24" s="90">
        <f t="shared" si="0"/>
        <v>0</v>
      </c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94"/>
    </row>
    <row r="25" spans="4:20" hidden="1" x14ac:dyDescent="0.25">
      <c r="D25" s="79" t="s">
        <v>97</v>
      </c>
      <c r="E25" s="78"/>
      <c r="F25" s="72"/>
      <c r="G25" s="72"/>
      <c r="H25" s="90">
        <f t="shared" si="0"/>
        <v>0</v>
      </c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94"/>
    </row>
    <row r="26" spans="4:20" ht="15.75" hidden="1" thickBot="1" x14ac:dyDescent="0.3">
      <c r="D26" s="84" t="s">
        <v>99</v>
      </c>
      <c r="E26" s="73"/>
      <c r="F26" s="74"/>
      <c r="G26" s="74"/>
      <c r="H26" s="90">
        <f t="shared" si="0"/>
        <v>0</v>
      </c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94"/>
    </row>
    <row r="27" spans="4:20" x14ac:dyDescent="0.25">
      <c r="D27" s="79" t="s">
        <v>212</v>
      </c>
      <c r="E27" s="78"/>
      <c r="F27" s="72"/>
      <c r="G27" s="72"/>
      <c r="H27" s="90">
        <f t="shared" si="0"/>
        <v>2000</v>
      </c>
      <c r="I27" s="88"/>
      <c r="J27" s="88"/>
      <c r="K27" s="88"/>
      <c r="L27" s="88"/>
      <c r="M27" s="88"/>
      <c r="N27" s="88">
        <v>2000</v>
      </c>
      <c r="O27" s="88"/>
      <c r="P27" s="88"/>
      <c r="Q27" s="88"/>
      <c r="R27" s="88"/>
      <c r="S27" s="88"/>
      <c r="T27" s="94"/>
    </row>
    <row r="28" spans="4:20" x14ac:dyDescent="0.25">
      <c r="D28" s="19"/>
      <c r="F28" s="29"/>
      <c r="G28" s="29"/>
      <c r="H28" s="90">
        <f t="shared" si="0"/>
        <v>0</v>
      </c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94"/>
    </row>
    <row r="29" spans="4:20" x14ac:dyDescent="0.25">
      <c r="D29" s="19"/>
      <c r="F29" s="29"/>
      <c r="G29" s="29"/>
      <c r="H29" s="90">
        <f t="shared" si="0"/>
        <v>0</v>
      </c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94"/>
    </row>
    <row r="30" spans="4:20" x14ac:dyDescent="0.25">
      <c r="D30" s="19"/>
      <c r="F30" s="29"/>
      <c r="G30" s="29"/>
      <c r="H30" s="90">
        <f t="shared" si="0"/>
        <v>0</v>
      </c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94"/>
    </row>
    <row r="31" spans="4:20" ht="15.75" thickBot="1" x14ac:dyDescent="0.3">
      <c r="D31" s="20"/>
      <c r="E31" s="21"/>
      <c r="F31" s="30"/>
      <c r="G31" s="30"/>
      <c r="H31" s="97">
        <f t="shared" si="0"/>
        <v>0</v>
      </c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6"/>
    </row>
    <row r="34" spans="10:14" x14ac:dyDescent="0.25">
      <c r="J34" s="70"/>
    </row>
    <row r="42" spans="10:14" x14ac:dyDescent="0.25">
      <c r="N42" s="70"/>
    </row>
  </sheetData>
  <mergeCells count="3">
    <mergeCell ref="I1:T1"/>
    <mergeCell ref="D3:G3"/>
    <mergeCell ref="D4:T4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0A32C-816B-4307-8E49-309B9FE0FD78}">
  <sheetPr>
    <tabColor theme="8" tint="-0.499984740745262"/>
  </sheetPr>
  <dimension ref="A1:R38"/>
  <sheetViews>
    <sheetView topLeftCell="B1" workbookViewId="0">
      <pane xSplit="4" ySplit="4" topLeftCell="F5" activePane="bottomRight" state="frozen"/>
      <selection pane="topRight"/>
      <selection pane="bottomLeft"/>
      <selection pane="bottomRight" activeCell="B1" sqref="B1"/>
    </sheetView>
  </sheetViews>
  <sheetFormatPr defaultRowHeight="15" x14ac:dyDescent="0.25"/>
  <cols>
    <col min="1" max="1" width="13.5703125" hidden="1" customWidth="1"/>
    <col min="2" max="2" width="34.7109375" bestFit="1" customWidth="1"/>
    <col min="3" max="3" width="19.85546875" bestFit="1" customWidth="1"/>
    <col min="4" max="4" width="12.5703125" style="1" customWidth="1"/>
    <col min="5" max="5" width="14.140625" style="1" bestFit="1" customWidth="1"/>
    <col min="6" max="6" width="13.42578125" style="42" bestFit="1" customWidth="1"/>
    <col min="7" max="7" width="14.28515625" bestFit="1" customWidth="1"/>
    <col min="8" max="11" width="13" bestFit="1" customWidth="1"/>
    <col min="12" max="17" width="12.28515625" bestFit="1" customWidth="1"/>
    <col min="18" max="18" width="13" bestFit="1" customWidth="1"/>
  </cols>
  <sheetData>
    <row r="1" spans="2:18" x14ac:dyDescent="0.25">
      <c r="B1" s="75">
        <f>Summary!K5</f>
        <v>2019</v>
      </c>
      <c r="C1" s="13" t="s">
        <v>213</v>
      </c>
      <c r="D1" s="212">
        <f>1/1.3268</f>
        <v>0.75369309617123903</v>
      </c>
      <c r="E1" s="577" t="s">
        <v>214</v>
      </c>
      <c r="F1" s="577"/>
      <c r="G1" s="565" t="str">
        <f>"Olympic Court Condo "&amp;B1&amp;" ONLY"</f>
        <v>Olympic Court Condo 2019 ONLY</v>
      </c>
      <c r="H1" s="565"/>
      <c r="I1" s="565"/>
      <c r="J1" s="565"/>
      <c r="K1" s="565"/>
      <c r="L1" s="565"/>
      <c r="M1" s="565"/>
      <c r="N1" s="565"/>
      <c r="O1" s="565"/>
      <c r="P1" s="565"/>
      <c r="Q1" s="565"/>
      <c r="R1" s="566"/>
    </row>
    <row r="2" spans="2:18" x14ac:dyDescent="0.25">
      <c r="B2" s="76"/>
      <c r="C2" s="3" t="s">
        <v>215</v>
      </c>
      <c r="D2" s="3" t="s">
        <v>216</v>
      </c>
      <c r="E2" s="3"/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115</v>
      </c>
      <c r="N2" s="3" t="s">
        <v>49</v>
      </c>
      <c r="O2" s="3" t="s">
        <v>50</v>
      </c>
      <c r="P2" s="3" t="s">
        <v>51</v>
      </c>
      <c r="Q2" s="3" t="s">
        <v>52</v>
      </c>
      <c r="R2" s="15" t="s">
        <v>53</v>
      </c>
    </row>
    <row r="3" spans="2:18" x14ac:dyDescent="0.25">
      <c r="B3" s="198" t="s">
        <v>209</v>
      </c>
      <c r="C3" s="200">
        <f>D3</f>
        <v>13513.305052063248</v>
      </c>
      <c r="D3" s="200">
        <f>F3/1.2965</f>
        <v>13513.305052063248</v>
      </c>
      <c r="E3" s="199"/>
      <c r="F3" s="67">
        <f t="shared" ref="F3:F27" si="0">SUM(G3:R3)</f>
        <v>17520</v>
      </c>
      <c r="G3" s="68">
        <v>1460</v>
      </c>
      <c r="H3" s="68">
        <v>1460</v>
      </c>
      <c r="I3" s="68">
        <v>1460</v>
      </c>
      <c r="J3" s="68">
        <v>1460</v>
      </c>
      <c r="K3" s="68">
        <v>1460</v>
      </c>
      <c r="L3" s="68">
        <v>1460</v>
      </c>
      <c r="M3" s="68">
        <v>1460</v>
      </c>
      <c r="N3" s="68">
        <v>1460</v>
      </c>
      <c r="O3" s="68">
        <v>1460</v>
      </c>
      <c r="P3" s="68">
        <v>1460</v>
      </c>
      <c r="Q3" s="68">
        <v>1460</v>
      </c>
      <c r="R3" s="77">
        <v>1460</v>
      </c>
    </row>
    <row r="4" spans="2:18" ht="12.75" customHeight="1" x14ac:dyDescent="0.25">
      <c r="B4" s="574"/>
      <c r="C4" s="575"/>
      <c r="D4" s="575"/>
      <c r="E4" s="575"/>
      <c r="F4" s="575"/>
      <c r="G4" s="575"/>
      <c r="H4" s="575"/>
      <c r="I4" s="575"/>
      <c r="J4" s="575"/>
      <c r="K4" s="575"/>
      <c r="L4" s="575"/>
      <c r="M4" s="575"/>
      <c r="N4" s="575"/>
      <c r="O4" s="575"/>
      <c r="P4" s="575"/>
      <c r="Q4" s="575"/>
      <c r="R4" s="576"/>
    </row>
    <row r="5" spans="2:18" x14ac:dyDescent="0.25">
      <c r="B5" s="85" t="s">
        <v>199</v>
      </c>
      <c r="C5" s="211">
        <f>D5+D19</f>
        <v>9015.7020902429613</v>
      </c>
      <c r="D5" s="197">
        <f>E5/1.2965</f>
        <v>8083.0620902429619</v>
      </c>
      <c r="E5" s="87">
        <f>SUM(E6:E27)</f>
        <v>10479.69</v>
      </c>
      <c r="F5" s="105">
        <f>SUM(G5:R5)</f>
        <v>9279.6900000000023</v>
      </c>
      <c r="G5" s="106">
        <f>SUM(G6:G27)</f>
        <v>1636.72</v>
      </c>
      <c r="H5" s="106">
        <f t="shared" ref="H5:R5" si="1">SUM(H6:H29)</f>
        <v>436.72</v>
      </c>
      <c r="I5" s="106">
        <f t="shared" si="1"/>
        <v>436.72</v>
      </c>
      <c r="J5" s="106">
        <f t="shared" si="1"/>
        <v>436.72</v>
      </c>
      <c r="K5" s="106">
        <f t="shared" si="1"/>
        <v>436.72</v>
      </c>
      <c r="L5" s="106">
        <f t="shared" si="1"/>
        <v>436.72</v>
      </c>
      <c r="M5" s="106">
        <f t="shared" si="1"/>
        <v>436.72</v>
      </c>
      <c r="N5" s="106">
        <f t="shared" si="1"/>
        <v>436.72</v>
      </c>
      <c r="O5" s="106">
        <f t="shared" si="1"/>
        <v>436.72</v>
      </c>
      <c r="P5" s="106">
        <f t="shared" si="1"/>
        <v>436.72</v>
      </c>
      <c r="Q5" s="106">
        <f t="shared" si="1"/>
        <v>436.72</v>
      </c>
      <c r="R5" s="107">
        <f t="shared" si="1"/>
        <v>3275.77</v>
      </c>
    </row>
    <row r="6" spans="2:18" x14ac:dyDescent="0.25">
      <c r="B6" s="79" t="s">
        <v>217</v>
      </c>
      <c r="C6" s="78"/>
      <c r="D6" s="203"/>
      <c r="E6" s="203">
        <f>F6</f>
        <v>2839.05</v>
      </c>
      <c r="F6" s="108">
        <f t="shared" ref="F6:F7" si="2">SUM(G6:R6)</f>
        <v>2839.05</v>
      </c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96">
        <v>2839.05</v>
      </c>
    </row>
    <row r="7" spans="2:18" x14ac:dyDescent="0.25">
      <c r="B7" s="79" t="s">
        <v>218</v>
      </c>
      <c r="C7" s="78"/>
      <c r="D7" s="203"/>
      <c r="E7" s="203">
        <f>F7</f>
        <v>1200</v>
      </c>
      <c r="F7" s="108">
        <f t="shared" si="2"/>
        <v>1200</v>
      </c>
      <c r="G7" s="88">
        <v>1200</v>
      </c>
      <c r="H7" s="88"/>
      <c r="I7" s="88"/>
      <c r="J7" s="88"/>
      <c r="K7" s="88"/>
      <c r="L7" s="88"/>
      <c r="M7" s="88"/>
      <c r="N7" s="88"/>
      <c r="O7" s="88"/>
      <c r="P7" s="88"/>
      <c r="Q7" s="88"/>
      <c r="R7" s="94"/>
    </row>
    <row r="8" spans="2:18" x14ac:dyDescent="0.25">
      <c r="B8" s="79" t="s">
        <v>219</v>
      </c>
      <c r="C8" s="78"/>
      <c r="D8" s="69"/>
      <c r="E8" s="69">
        <f>F8</f>
        <v>2180.64</v>
      </c>
      <c r="F8" s="194">
        <f t="shared" si="0"/>
        <v>2180.64</v>
      </c>
      <c r="G8" s="210">
        <v>181.72</v>
      </c>
      <c r="H8" s="88">
        <v>181.72</v>
      </c>
      <c r="I8" s="88">
        <v>181.72</v>
      </c>
      <c r="J8" s="88">
        <v>181.72</v>
      </c>
      <c r="K8" s="88">
        <v>181.72</v>
      </c>
      <c r="L8" s="88">
        <v>181.72</v>
      </c>
      <c r="M8" s="88">
        <v>181.72</v>
      </c>
      <c r="N8" s="88">
        <v>181.72</v>
      </c>
      <c r="O8" s="88">
        <v>181.72</v>
      </c>
      <c r="P8" s="88">
        <v>181.72</v>
      </c>
      <c r="Q8" s="88">
        <v>181.72</v>
      </c>
      <c r="R8" s="94">
        <v>181.72</v>
      </c>
    </row>
    <row r="9" spans="2:18" x14ac:dyDescent="0.25">
      <c r="B9" s="79" t="s">
        <v>220</v>
      </c>
      <c r="C9" s="78"/>
      <c r="D9" s="203"/>
      <c r="E9" s="203">
        <f>F9</f>
        <v>1140</v>
      </c>
      <c r="F9" s="194">
        <f t="shared" ref="F9" si="3">SUM(G9:R9)</f>
        <v>1140</v>
      </c>
      <c r="G9" s="213">
        <v>95</v>
      </c>
      <c r="H9" s="213">
        <v>95</v>
      </c>
      <c r="I9" s="213">
        <v>95</v>
      </c>
      <c r="J9" s="213">
        <v>95</v>
      </c>
      <c r="K9" s="213">
        <v>95</v>
      </c>
      <c r="L9" s="213">
        <v>95</v>
      </c>
      <c r="M9" s="213">
        <v>95</v>
      </c>
      <c r="N9" s="213">
        <v>95</v>
      </c>
      <c r="O9" s="213">
        <v>95</v>
      </c>
      <c r="P9" s="213">
        <v>95</v>
      </c>
      <c r="Q9" s="213">
        <v>95</v>
      </c>
      <c r="R9" s="213">
        <v>95</v>
      </c>
    </row>
    <row r="10" spans="2:18" hidden="1" x14ac:dyDescent="0.25">
      <c r="B10" s="80" t="s">
        <v>80</v>
      </c>
      <c r="C10" s="78"/>
      <c r="D10" s="71"/>
      <c r="E10" s="71"/>
      <c r="F10" s="109">
        <f t="shared" si="0"/>
        <v>0</v>
      </c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94"/>
    </row>
    <row r="11" spans="2:18" hidden="1" x14ac:dyDescent="0.25">
      <c r="B11" s="79" t="s">
        <v>139</v>
      </c>
      <c r="C11" s="78"/>
      <c r="D11" s="69"/>
      <c r="E11" s="69"/>
      <c r="F11" s="109">
        <f t="shared" si="0"/>
        <v>0</v>
      </c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94"/>
    </row>
    <row r="12" spans="2:18" hidden="1" x14ac:dyDescent="0.25">
      <c r="B12" s="79" t="s">
        <v>140</v>
      </c>
      <c r="C12" s="78"/>
      <c r="D12" s="69"/>
      <c r="E12" s="69"/>
      <c r="F12" s="109">
        <f t="shared" si="0"/>
        <v>0</v>
      </c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94"/>
    </row>
    <row r="13" spans="2:18" hidden="1" x14ac:dyDescent="0.25">
      <c r="B13" s="79" t="s">
        <v>197</v>
      </c>
      <c r="C13" s="78"/>
      <c r="D13" s="69"/>
      <c r="E13" s="69"/>
      <c r="F13" s="109">
        <f t="shared" si="0"/>
        <v>0</v>
      </c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94"/>
    </row>
    <row r="14" spans="2:18" hidden="1" x14ac:dyDescent="0.25">
      <c r="B14" s="79" t="s">
        <v>142</v>
      </c>
      <c r="C14" s="78"/>
      <c r="D14" s="69"/>
      <c r="E14" s="69"/>
      <c r="F14" s="109">
        <f t="shared" si="0"/>
        <v>0</v>
      </c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94"/>
    </row>
    <row r="15" spans="2:18" x14ac:dyDescent="0.25">
      <c r="B15" s="79"/>
      <c r="C15" s="78"/>
      <c r="D15" s="69"/>
      <c r="E15" s="69"/>
      <c r="F15" s="109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94"/>
    </row>
    <row r="16" spans="2:18" x14ac:dyDescent="0.25">
      <c r="B16" s="79" t="s">
        <v>88</v>
      </c>
      <c r="C16" s="78"/>
      <c r="D16" s="69"/>
      <c r="E16" s="69">
        <f>F16</f>
        <v>0</v>
      </c>
      <c r="F16" s="109">
        <f t="shared" si="0"/>
        <v>0</v>
      </c>
      <c r="G16" s="88"/>
      <c r="H16" s="88"/>
      <c r="I16" s="88"/>
      <c r="J16" s="88"/>
      <c r="K16" s="88"/>
      <c r="L16" s="98"/>
      <c r="M16" s="88"/>
      <c r="N16" s="88"/>
      <c r="O16" s="88"/>
      <c r="P16" s="88"/>
      <c r="Q16" s="88"/>
      <c r="R16" s="94"/>
    </row>
    <row r="17" spans="2:18" x14ac:dyDescent="0.25">
      <c r="B17" s="79" t="s">
        <v>221</v>
      </c>
      <c r="C17" s="78"/>
      <c r="D17" s="69"/>
      <c r="E17" s="69">
        <f>F17</f>
        <v>1920</v>
      </c>
      <c r="F17" s="109">
        <f t="shared" si="0"/>
        <v>1920</v>
      </c>
      <c r="G17" s="88">
        <v>160</v>
      </c>
      <c r="H17" s="88">
        <v>160</v>
      </c>
      <c r="I17" s="88">
        <v>160</v>
      </c>
      <c r="J17" s="88">
        <v>160</v>
      </c>
      <c r="K17" s="88">
        <v>160</v>
      </c>
      <c r="L17" s="88">
        <v>160</v>
      </c>
      <c r="M17" s="88">
        <v>160</v>
      </c>
      <c r="N17" s="88">
        <v>160</v>
      </c>
      <c r="O17" s="88">
        <v>160</v>
      </c>
      <c r="P17" s="88">
        <v>160</v>
      </c>
      <c r="Q17" s="88">
        <v>160</v>
      </c>
      <c r="R17" s="94">
        <v>160</v>
      </c>
    </row>
    <row r="18" spans="2:18" x14ac:dyDescent="0.25">
      <c r="B18" s="79" t="s">
        <v>91</v>
      </c>
      <c r="C18" s="78"/>
      <c r="D18" s="69"/>
      <c r="E18" s="69"/>
      <c r="F18" s="109">
        <f t="shared" si="0"/>
        <v>0</v>
      </c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94"/>
    </row>
    <row r="19" spans="2:18" x14ac:dyDescent="0.25">
      <c r="B19" s="189" t="s">
        <v>222</v>
      </c>
      <c r="C19" s="78" t="s">
        <v>223</v>
      </c>
      <c r="D19" s="192">
        <v>932.64</v>
      </c>
      <c r="E19" s="69"/>
      <c r="F19" s="110">
        <f t="shared" si="0"/>
        <v>0</v>
      </c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94"/>
    </row>
    <row r="20" spans="2:18" x14ac:dyDescent="0.25">
      <c r="B20" s="81"/>
      <c r="C20" s="191"/>
      <c r="F20" s="110">
        <f t="shared" si="0"/>
        <v>0</v>
      </c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94"/>
    </row>
    <row r="21" spans="2:18" x14ac:dyDescent="0.25">
      <c r="B21" s="79" t="s">
        <v>224</v>
      </c>
      <c r="C21" s="78"/>
      <c r="D21" s="69"/>
      <c r="E21" s="69"/>
      <c r="F21" s="108">
        <f>SUM(G21:R21)</f>
        <v>0</v>
      </c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4"/>
    </row>
    <row r="22" spans="2:18" hidden="1" x14ac:dyDescent="0.25">
      <c r="B22" s="79" t="s">
        <v>93</v>
      </c>
      <c r="C22" s="78"/>
      <c r="D22" s="72"/>
      <c r="E22" s="72"/>
      <c r="F22" s="108">
        <f t="shared" ref="F22:F26" si="4">SUM(G22:R22)</f>
        <v>0</v>
      </c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94"/>
    </row>
    <row r="23" spans="2:18" hidden="1" x14ac:dyDescent="0.25">
      <c r="B23" s="79" t="s">
        <v>95</v>
      </c>
      <c r="C23" s="78"/>
      <c r="D23" s="72"/>
      <c r="E23" s="72"/>
      <c r="F23" s="108">
        <f t="shared" si="4"/>
        <v>0</v>
      </c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94"/>
    </row>
    <row r="24" spans="2:18" hidden="1" x14ac:dyDescent="0.25">
      <c r="B24" s="79" t="s">
        <v>97</v>
      </c>
      <c r="C24" s="78"/>
      <c r="D24" s="72"/>
      <c r="E24" s="72"/>
      <c r="F24" s="108">
        <f t="shared" si="4"/>
        <v>0</v>
      </c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94"/>
    </row>
    <row r="25" spans="2:18" hidden="1" x14ac:dyDescent="0.25">
      <c r="B25" s="84" t="s">
        <v>99</v>
      </c>
      <c r="C25" s="73"/>
      <c r="D25" s="74"/>
      <c r="E25" s="74"/>
      <c r="F25" s="108">
        <f t="shared" si="4"/>
        <v>0</v>
      </c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94"/>
    </row>
    <row r="26" spans="2:18" x14ac:dyDescent="0.25">
      <c r="B26" s="79" t="s">
        <v>212</v>
      </c>
      <c r="C26" s="78"/>
      <c r="D26" s="72"/>
      <c r="E26" s="72">
        <v>1200</v>
      </c>
      <c r="F26" s="108">
        <f t="shared" si="4"/>
        <v>0</v>
      </c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94"/>
    </row>
    <row r="27" spans="2:18" x14ac:dyDescent="0.25">
      <c r="B27" s="20"/>
      <c r="C27" s="21"/>
      <c r="D27" s="30"/>
      <c r="E27" s="30"/>
      <c r="F27" s="111">
        <f t="shared" si="0"/>
        <v>0</v>
      </c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6"/>
    </row>
    <row r="30" spans="2:18" x14ac:dyDescent="0.25">
      <c r="H30" s="70"/>
    </row>
    <row r="38" spans="12:12" x14ac:dyDescent="0.25">
      <c r="L38" s="70"/>
    </row>
  </sheetData>
  <mergeCells count="3">
    <mergeCell ref="G1:R1"/>
    <mergeCell ref="B4:R4"/>
    <mergeCell ref="E1:F1"/>
  </mergeCells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5B683-1781-431A-BE9B-A4C11CE7C857}">
  <sheetPr>
    <tabColor theme="8" tint="-0.499984740745262"/>
  </sheetPr>
  <dimension ref="A1:R64"/>
  <sheetViews>
    <sheetView topLeftCell="B1" workbookViewId="0">
      <pane xSplit="4" ySplit="4" topLeftCell="F5" activePane="bottomRight" state="frozen"/>
      <selection pane="topRight"/>
      <selection pane="bottomLeft"/>
      <selection pane="bottomRight" activeCell="K58" sqref="K58"/>
    </sheetView>
  </sheetViews>
  <sheetFormatPr defaultRowHeight="15" outlineLevelRow="1" x14ac:dyDescent="0.25"/>
  <cols>
    <col min="1" max="1" width="13.5703125" hidden="1" customWidth="1"/>
    <col min="2" max="2" width="34.7109375" bestFit="1" customWidth="1"/>
    <col min="3" max="3" width="13.140625" customWidth="1"/>
    <col min="4" max="4" width="12.5703125" style="1" customWidth="1"/>
    <col min="5" max="5" width="14.140625" style="1" bestFit="1" customWidth="1"/>
    <col min="6" max="6" width="13.42578125" style="42" bestFit="1" customWidth="1"/>
    <col min="7" max="7" width="14.28515625" bestFit="1" customWidth="1"/>
    <col min="8" max="12" width="13" bestFit="1" customWidth="1"/>
    <col min="13" max="17" width="12.28515625" bestFit="1" customWidth="1"/>
    <col min="18" max="18" width="13" bestFit="1" customWidth="1"/>
  </cols>
  <sheetData>
    <row r="1" spans="2:18" x14ac:dyDescent="0.25">
      <c r="B1" s="75">
        <f>Summary!L5</f>
        <v>2018</v>
      </c>
      <c r="C1" s="13" t="s">
        <v>213</v>
      </c>
      <c r="D1" s="243">
        <f>1/1.2965</f>
        <v>0.77130736598534522</v>
      </c>
      <c r="E1" s="577" t="s">
        <v>225</v>
      </c>
      <c r="F1" s="577"/>
      <c r="G1" s="565" t="str">
        <f>"Olympic Court Condo "&amp;B1&amp;" since 2012"</f>
        <v>Olympic Court Condo 2018 since 2012</v>
      </c>
      <c r="H1" s="565"/>
      <c r="I1" s="565"/>
      <c r="J1" s="565"/>
      <c r="K1" s="565"/>
      <c r="L1" s="565"/>
      <c r="M1" s="565"/>
      <c r="N1" s="565"/>
      <c r="O1" s="565"/>
      <c r="P1" s="565"/>
      <c r="Q1" s="565"/>
      <c r="R1" s="566"/>
    </row>
    <row r="2" spans="2:18" x14ac:dyDescent="0.25">
      <c r="B2" s="76"/>
      <c r="C2" s="3" t="s">
        <v>215</v>
      </c>
      <c r="D2" s="3" t="s">
        <v>216</v>
      </c>
      <c r="E2" s="3"/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115</v>
      </c>
      <c r="N2" s="3" t="s">
        <v>49</v>
      </c>
      <c r="O2" s="3" t="s">
        <v>50</v>
      </c>
      <c r="P2" s="3" t="s">
        <v>51</v>
      </c>
      <c r="Q2" s="3" t="s">
        <v>52</v>
      </c>
      <c r="R2" s="15" t="s">
        <v>53</v>
      </c>
    </row>
    <row r="3" spans="2:18" x14ac:dyDescent="0.25">
      <c r="B3" s="198" t="s">
        <v>226</v>
      </c>
      <c r="C3" s="200">
        <f>D3</f>
        <v>7882.7612803702277</v>
      </c>
      <c r="D3" s="200">
        <f>F3*D1</f>
        <v>7882.7612803702277</v>
      </c>
      <c r="E3" s="199"/>
      <c r="F3" s="67">
        <f t="shared" ref="F3:F53" si="0">SUM(G3:R3)</f>
        <v>10220</v>
      </c>
      <c r="G3" s="68">
        <v>0</v>
      </c>
      <c r="H3" s="68">
        <v>0</v>
      </c>
      <c r="I3" s="68">
        <v>0</v>
      </c>
      <c r="J3" s="68">
        <v>0</v>
      </c>
      <c r="K3" s="68">
        <v>0</v>
      </c>
      <c r="L3" s="68">
        <v>1460</v>
      </c>
      <c r="M3" s="68">
        <v>1460</v>
      </c>
      <c r="N3" s="68">
        <v>1460</v>
      </c>
      <c r="O3" s="68">
        <v>1460</v>
      </c>
      <c r="P3" s="68">
        <v>1460</v>
      </c>
      <c r="Q3" s="68">
        <v>1460</v>
      </c>
      <c r="R3" s="77">
        <v>1460</v>
      </c>
    </row>
    <row r="4" spans="2:18" ht="12.75" customHeight="1" x14ac:dyDescent="0.25">
      <c r="B4" s="574"/>
      <c r="C4" s="575"/>
      <c r="D4" s="575"/>
      <c r="E4" s="575"/>
      <c r="F4" s="575"/>
      <c r="G4" s="575"/>
      <c r="H4" s="575"/>
      <c r="I4" s="575"/>
      <c r="J4" s="575"/>
      <c r="K4" s="575"/>
      <c r="L4" s="575"/>
      <c r="M4" s="575"/>
      <c r="N4" s="575"/>
      <c r="O4" s="575"/>
      <c r="P4" s="575"/>
      <c r="Q4" s="575"/>
      <c r="R4" s="576"/>
    </row>
    <row r="5" spans="2:18" x14ac:dyDescent="0.25">
      <c r="B5" s="85" t="s">
        <v>227</v>
      </c>
      <c r="C5" s="211">
        <f>D5+D45</f>
        <v>52623.602703432312</v>
      </c>
      <c r="D5" s="197">
        <f>E5*D1</f>
        <v>43946.432703432314</v>
      </c>
      <c r="E5" s="87">
        <f>SUM(E13:E53)</f>
        <v>56976.549999999996</v>
      </c>
      <c r="F5" s="105">
        <f>SUM(G5:R5)</f>
        <v>44845.45</v>
      </c>
      <c r="G5" s="106">
        <f>SUM(G13:G55)</f>
        <v>10882.199999999997</v>
      </c>
      <c r="H5" s="106">
        <f t="shared" ref="H5:R5" si="1">SUM(H13:H55)</f>
        <v>2482.1999999999998</v>
      </c>
      <c r="I5" s="106">
        <f t="shared" si="1"/>
        <v>2482.1999999999998</v>
      </c>
      <c r="J5" s="106">
        <f t="shared" si="1"/>
        <v>2482.1999999999998</v>
      </c>
      <c r="K5" s="106">
        <f t="shared" si="1"/>
        <v>2482.1999999999998</v>
      </c>
      <c r="L5" s="106">
        <f t="shared" si="1"/>
        <v>5342.2</v>
      </c>
      <c r="M5" s="106">
        <f t="shared" si="1"/>
        <v>2642.2</v>
      </c>
      <c r="N5" s="106">
        <f t="shared" si="1"/>
        <v>2642.2</v>
      </c>
      <c r="O5" s="106">
        <f t="shared" si="1"/>
        <v>2642.2</v>
      </c>
      <c r="P5" s="106">
        <f t="shared" si="1"/>
        <v>2642.2</v>
      </c>
      <c r="Q5" s="106">
        <f t="shared" si="1"/>
        <v>2642.2</v>
      </c>
      <c r="R5" s="107">
        <f t="shared" si="1"/>
        <v>5481.2499999999991</v>
      </c>
    </row>
    <row r="6" spans="2:18" outlineLevel="1" x14ac:dyDescent="0.25">
      <c r="B6" s="202" t="s">
        <v>228</v>
      </c>
      <c r="C6" s="78"/>
      <c r="D6" s="193"/>
      <c r="E6" s="193"/>
      <c r="F6" s="108">
        <f t="shared" ref="F6:F12" si="2">SUM(G6:R6)</f>
        <v>2839.05</v>
      </c>
      <c r="G6" s="195"/>
      <c r="H6" s="195"/>
      <c r="I6" s="195"/>
      <c r="J6" s="195"/>
      <c r="K6" s="195"/>
      <c r="L6" s="195"/>
      <c r="M6" s="195"/>
      <c r="N6" s="195"/>
      <c r="O6" s="195"/>
      <c r="P6" s="195"/>
      <c r="Q6" s="195"/>
      <c r="R6" s="196">
        <v>2839.05</v>
      </c>
    </row>
    <row r="7" spans="2:18" outlineLevel="1" x14ac:dyDescent="0.25">
      <c r="B7" s="202" t="s">
        <v>229</v>
      </c>
      <c r="C7" s="78"/>
      <c r="D7" s="193"/>
      <c r="E7" s="193"/>
      <c r="F7" s="108">
        <f t="shared" si="2"/>
        <v>2839.05</v>
      </c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6">
        <v>2839.05</v>
      </c>
    </row>
    <row r="8" spans="2:18" outlineLevel="1" x14ac:dyDescent="0.25">
      <c r="B8" s="202" t="s">
        <v>230</v>
      </c>
      <c r="C8" s="78"/>
      <c r="D8" s="193"/>
      <c r="E8" s="193"/>
      <c r="F8" s="108">
        <f t="shared" si="2"/>
        <v>2839.05</v>
      </c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  <c r="R8" s="196">
        <v>2839.05</v>
      </c>
    </row>
    <row r="9" spans="2:18" outlineLevel="1" x14ac:dyDescent="0.25">
      <c r="B9" s="202" t="s">
        <v>231</v>
      </c>
      <c r="C9" s="78"/>
      <c r="D9" s="193"/>
      <c r="E9" s="193"/>
      <c r="F9" s="108">
        <f t="shared" si="2"/>
        <v>2839.05</v>
      </c>
      <c r="G9" s="195"/>
      <c r="H9" s="195"/>
      <c r="I9" s="195"/>
      <c r="J9" s="195"/>
      <c r="K9" s="195"/>
      <c r="L9" s="195"/>
      <c r="M9" s="195"/>
      <c r="N9" s="195"/>
      <c r="O9" s="195"/>
      <c r="P9" s="195"/>
      <c r="Q9" s="195"/>
      <c r="R9" s="196">
        <v>2839.05</v>
      </c>
    </row>
    <row r="10" spans="2:18" outlineLevel="1" x14ac:dyDescent="0.25">
      <c r="B10" s="202" t="s">
        <v>232</v>
      </c>
      <c r="C10" s="78"/>
      <c r="D10" s="193"/>
      <c r="E10" s="193"/>
      <c r="F10" s="108">
        <f t="shared" si="2"/>
        <v>2839.05</v>
      </c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6">
        <v>2839.05</v>
      </c>
    </row>
    <row r="11" spans="2:18" outlineLevel="1" x14ac:dyDescent="0.25">
      <c r="B11" s="202" t="s">
        <v>233</v>
      </c>
      <c r="C11" s="78"/>
      <c r="D11" s="193"/>
      <c r="E11" s="193"/>
      <c r="F11" s="108">
        <f t="shared" si="2"/>
        <v>2839.05</v>
      </c>
      <c r="G11" s="195"/>
      <c r="H11" s="195"/>
      <c r="I11" s="195"/>
      <c r="J11" s="195"/>
      <c r="K11" s="195"/>
      <c r="L11" s="195"/>
      <c r="M11" s="195"/>
      <c r="N11" s="195"/>
      <c r="O11" s="195"/>
      <c r="P11" s="195"/>
      <c r="Q11" s="195"/>
      <c r="R11" s="196">
        <v>2839.05</v>
      </c>
    </row>
    <row r="12" spans="2:18" outlineLevel="1" x14ac:dyDescent="0.25">
      <c r="B12" s="202" t="s">
        <v>234</v>
      </c>
      <c r="C12" s="78"/>
      <c r="D12" s="193"/>
      <c r="E12" s="193"/>
      <c r="F12" s="108">
        <f t="shared" si="2"/>
        <v>2839.05</v>
      </c>
      <c r="G12" s="195"/>
      <c r="H12" s="195"/>
      <c r="I12" s="195"/>
      <c r="J12" s="195"/>
      <c r="K12" s="195"/>
      <c r="L12" s="195"/>
      <c r="M12" s="195"/>
      <c r="N12" s="195"/>
      <c r="O12" s="195"/>
      <c r="P12" s="195"/>
      <c r="Q12" s="195"/>
      <c r="R12" s="196">
        <v>2839.05</v>
      </c>
    </row>
    <row r="13" spans="2:18" x14ac:dyDescent="0.25">
      <c r="B13" s="189" t="s">
        <v>235</v>
      </c>
      <c r="C13" s="78"/>
      <c r="D13" s="69"/>
      <c r="E13" s="201">
        <f>SUM(F6:F12)</f>
        <v>19873.349999999999</v>
      </c>
      <c r="F13" s="194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96">
        <v>2839.05</v>
      </c>
    </row>
    <row r="14" spans="2:18" hidden="1" outlineLevel="1" x14ac:dyDescent="0.25">
      <c r="B14" s="202" t="s">
        <v>236</v>
      </c>
      <c r="C14" s="78"/>
      <c r="D14" s="203"/>
      <c r="E14" s="203"/>
      <c r="F14" s="205">
        <f t="shared" ref="F14:F20" si="3">SUM(G14:R14)</f>
        <v>1200</v>
      </c>
      <c r="G14" s="206">
        <v>1200</v>
      </c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96"/>
    </row>
    <row r="15" spans="2:18" hidden="1" outlineLevel="1" x14ac:dyDescent="0.25">
      <c r="B15" s="202" t="s">
        <v>237</v>
      </c>
      <c r="C15" s="78"/>
      <c r="D15" s="203"/>
      <c r="E15" s="203"/>
      <c r="F15" s="205">
        <f t="shared" si="3"/>
        <v>1200</v>
      </c>
      <c r="G15" s="206">
        <v>1200</v>
      </c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96"/>
    </row>
    <row r="16" spans="2:18" hidden="1" outlineLevel="1" x14ac:dyDescent="0.25">
      <c r="B16" s="202" t="s">
        <v>238</v>
      </c>
      <c r="C16" s="78"/>
      <c r="D16" s="203"/>
      <c r="E16" s="203"/>
      <c r="F16" s="205">
        <f t="shared" si="3"/>
        <v>1200</v>
      </c>
      <c r="G16" s="206">
        <v>1200</v>
      </c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96"/>
    </row>
    <row r="17" spans="2:18" hidden="1" outlineLevel="1" x14ac:dyDescent="0.25">
      <c r="B17" s="202" t="s">
        <v>239</v>
      </c>
      <c r="C17" s="78"/>
      <c r="D17" s="203"/>
      <c r="E17" s="203"/>
      <c r="F17" s="205">
        <f t="shared" si="3"/>
        <v>1200</v>
      </c>
      <c r="G17" s="206">
        <v>1200</v>
      </c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96"/>
    </row>
    <row r="18" spans="2:18" hidden="1" outlineLevel="1" x14ac:dyDescent="0.25">
      <c r="B18" s="202" t="s">
        <v>240</v>
      </c>
      <c r="C18" s="78"/>
      <c r="D18" s="203"/>
      <c r="E18" s="203"/>
      <c r="F18" s="205">
        <f t="shared" si="3"/>
        <v>1200</v>
      </c>
      <c r="G18" s="206">
        <v>1200</v>
      </c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96"/>
    </row>
    <row r="19" spans="2:18" hidden="1" outlineLevel="1" x14ac:dyDescent="0.25">
      <c r="B19" s="202" t="s">
        <v>241</v>
      </c>
      <c r="C19" s="78"/>
      <c r="D19" s="203"/>
      <c r="E19" s="203"/>
      <c r="F19" s="205">
        <f t="shared" si="3"/>
        <v>1200</v>
      </c>
      <c r="G19" s="206">
        <v>1200</v>
      </c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96"/>
    </row>
    <row r="20" spans="2:18" hidden="1" outlineLevel="1" x14ac:dyDescent="0.25">
      <c r="B20" s="202" t="s">
        <v>242</v>
      </c>
      <c r="C20" s="78"/>
      <c r="D20" s="203"/>
      <c r="E20" s="203"/>
      <c r="F20" s="208">
        <f t="shared" si="3"/>
        <v>1200</v>
      </c>
      <c r="G20" s="206">
        <v>1200</v>
      </c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96"/>
    </row>
    <row r="21" spans="2:18" collapsed="1" x14ac:dyDescent="0.25">
      <c r="B21" s="189" t="s">
        <v>243</v>
      </c>
      <c r="C21" s="204"/>
      <c r="D21" s="201"/>
      <c r="E21" s="201">
        <f>F21</f>
        <v>8400</v>
      </c>
      <c r="F21" s="207">
        <f>SUM(F14:F20)</f>
        <v>8400</v>
      </c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94"/>
    </row>
    <row r="22" spans="2:18" hidden="1" outlineLevel="1" x14ac:dyDescent="0.25">
      <c r="B22" s="202" t="s">
        <v>244</v>
      </c>
      <c r="C22" s="78"/>
      <c r="D22" s="69"/>
      <c r="E22" s="69"/>
      <c r="F22" s="108">
        <f t="shared" si="0"/>
        <v>2180.64</v>
      </c>
      <c r="G22" s="88">
        <v>181.72</v>
      </c>
      <c r="H22" s="88">
        <v>181.72</v>
      </c>
      <c r="I22" s="88">
        <v>181.72</v>
      </c>
      <c r="J22" s="88">
        <v>181.72</v>
      </c>
      <c r="K22" s="88">
        <v>181.72</v>
      </c>
      <c r="L22" s="88">
        <v>181.72</v>
      </c>
      <c r="M22" s="88">
        <v>181.72</v>
      </c>
      <c r="N22" s="88">
        <v>181.72</v>
      </c>
      <c r="O22" s="88">
        <v>181.72</v>
      </c>
      <c r="P22" s="88">
        <v>181.72</v>
      </c>
      <c r="Q22" s="88">
        <v>181.72</v>
      </c>
      <c r="R22" s="94">
        <v>181.72</v>
      </c>
    </row>
    <row r="23" spans="2:18" hidden="1" outlineLevel="1" x14ac:dyDescent="0.25">
      <c r="B23" s="202" t="s">
        <v>245</v>
      </c>
      <c r="C23" s="78"/>
      <c r="D23" s="69"/>
      <c r="E23" s="69"/>
      <c r="F23" s="108">
        <f t="shared" si="0"/>
        <v>2180.64</v>
      </c>
      <c r="G23" s="88">
        <v>181.72</v>
      </c>
      <c r="H23" s="88">
        <v>181.72</v>
      </c>
      <c r="I23" s="88">
        <v>181.72</v>
      </c>
      <c r="J23" s="88">
        <v>181.72</v>
      </c>
      <c r="K23" s="88">
        <v>181.72</v>
      </c>
      <c r="L23" s="88">
        <v>181.72</v>
      </c>
      <c r="M23" s="88">
        <v>181.72</v>
      </c>
      <c r="N23" s="88">
        <v>181.72</v>
      </c>
      <c r="O23" s="88">
        <v>181.72</v>
      </c>
      <c r="P23" s="88">
        <v>181.72</v>
      </c>
      <c r="Q23" s="88">
        <v>181.72</v>
      </c>
      <c r="R23" s="94">
        <v>181.72</v>
      </c>
    </row>
    <row r="24" spans="2:18" hidden="1" outlineLevel="1" x14ac:dyDescent="0.25">
      <c r="B24" s="202" t="s">
        <v>246</v>
      </c>
      <c r="C24" s="78"/>
      <c r="D24" s="69"/>
      <c r="E24" s="69"/>
      <c r="F24" s="108">
        <f t="shared" si="0"/>
        <v>2180.64</v>
      </c>
      <c r="G24" s="88">
        <v>181.72</v>
      </c>
      <c r="H24" s="88">
        <v>181.72</v>
      </c>
      <c r="I24" s="88">
        <v>181.72</v>
      </c>
      <c r="J24" s="88">
        <v>181.72</v>
      </c>
      <c r="K24" s="88">
        <v>181.72</v>
      </c>
      <c r="L24" s="88">
        <v>181.72</v>
      </c>
      <c r="M24" s="88">
        <v>181.72</v>
      </c>
      <c r="N24" s="88">
        <v>181.72</v>
      </c>
      <c r="O24" s="88">
        <v>181.72</v>
      </c>
      <c r="P24" s="88">
        <v>181.72</v>
      </c>
      <c r="Q24" s="88">
        <v>181.72</v>
      </c>
      <c r="R24" s="94">
        <v>181.72</v>
      </c>
    </row>
    <row r="25" spans="2:18" hidden="1" outlineLevel="1" x14ac:dyDescent="0.25">
      <c r="B25" s="202" t="s">
        <v>247</v>
      </c>
      <c r="C25" s="78"/>
      <c r="D25" s="69"/>
      <c r="E25" s="69"/>
      <c r="F25" s="108">
        <f t="shared" si="0"/>
        <v>2180.64</v>
      </c>
      <c r="G25" s="88">
        <v>181.72</v>
      </c>
      <c r="H25" s="88">
        <v>181.72</v>
      </c>
      <c r="I25" s="88">
        <v>181.72</v>
      </c>
      <c r="J25" s="88">
        <v>181.72</v>
      </c>
      <c r="K25" s="88">
        <v>181.72</v>
      </c>
      <c r="L25" s="88">
        <v>181.72</v>
      </c>
      <c r="M25" s="88">
        <v>181.72</v>
      </c>
      <c r="N25" s="88">
        <v>181.72</v>
      </c>
      <c r="O25" s="88">
        <v>181.72</v>
      </c>
      <c r="P25" s="88">
        <v>181.72</v>
      </c>
      <c r="Q25" s="88">
        <v>181.72</v>
      </c>
      <c r="R25" s="94">
        <v>181.72</v>
      </c>
    </row>
    <row r="26" spans="2:18" hidden="1" outlineLevel="1" x14ac:dyDescent="0.25">
      <c r="B26" s="202" t="s">
        <v>248</v>
      </c>
      <c r="C26" s="78"/>
      <c r="D26" s="69"/>
      <c r="E26" s="69"/>
      <c r="F26" s="194">
        <f t="shared" si="0"/>
        <v>2180.64</v>
      </c>
      <c r="G26" s="210">
        <v>181.72</v>
      </c>
      <c r="H26" s="88">
        <v>181.72</v>
      </c>
      <c r="I26" s="88">
        <v>181.72</v>
      </c>
      <c r="J26" s="88">
        <v>181.72</v>
      </c>
      <c r="K26" s="88">
        <v>181.72</v>
      </c>
      <c r="L26" s="88">
        <v>181.72</v>
      </c>
      <c r="M26" s="88">
        <v>181.72</v>
      </c>
      <c r="N26" s="88">
        <v>181.72</v>
      </c>
      <c r="O26" s="88">
        <v>181.72</v>
      </c>
      <c r="P26" s="88">
        <v>181.72</v>
      </c>
      <c r="Q26" s="88">
        <v>181.72</v>
      </c>
      <c r="R26" s="94">
        <v>181.72</v>
      </c>
    </row>
    <row r="27" spans="2:18" collapsed="1" x14ac:dyDescent="0.25">
      <c r="B27" s="189" t="s">
        <v>249</v>
      </c>
      <c r="C27" s="204"/>
      <c r="D27" s="201"/>
      <c r="E27" s="201">
        <f>F27</f>
        <v>10903.199999999999</v>
      </c>
      <c r="F27" s="207">
        <f>SUM(F22:F26)</f>
        <v>10903.199999999999</v>
      </c>
      <c r="G27" s="209">
        <f>SUM(G22:G26)</f>
        <v>908.6</v>
      </c>
      <c r="H27" s="209">
        <f>SUM(H22:H26)</f>
        <v>908.6</v>
      </c>
      <c r="I27" s="209">
        <f t="shared" ref="I27:R27" si="4">SUM(I22:I26)</f>
        <v>908.6</v>
      </c>
      <c r="J27" s="209">
        <f t="shared" si="4"/>
        <v>908.6</v>
      </c>
      <c r="K27" s="209">
        <f t="shared" si="4"/>
        <v>908.6</v>
      </c>
      <c r="L27" s="209">
        <f t="shared" si="4"/>
        <v>908.6</v>
      </c>
      <c r="M27" s="209">
        <f t="shared" si="4"/>
        <v>908.6</v>
      </c>
      <c r="N27" s="209">
        <f t="shared" si="4"/>
        <v>908.6</v>
      </c>
      <c r="O27" s="209">
        <f t="shared" si="4"/>
        <v>908.6</v>
      </c>
      <c r="P27" s="209">
        <f t="shared" si="4"/>
        <v>908.6</v>
      </c>
      <c r="Q27" s="209">
        <f t="shared" si="4"/>
        <v>908.6</v>
      </c>
      <c r="R27" s="209">
        <f t="shared" si="4"/>
        <v>908.6</v>
      </c>
    </row>
    <row r="28" spans="2:18" hidden="1" outlineLevel="1" x14ac:dyDescent="0.25">
      <c r="B28" s="202" t="s">
        <v>250</v>
      </c>
      <c r="C28" s="78"/>
      <c r="D28" s="203"/>
      <c r="E28" s="203"/>
      <c r="F28" s="194">
        <f>SUM(G28:R28)</f>
        <v>1140</v>
      </c>
      <c r="G28" s="213">
        <v>95</v>
      </c>
      <c r="H28" s="213">
        <v>95</v>
      </c>
      <c r="I28" s="213">
        <v>95</v>
      </c>
      <c r="J28" s="213">
        <v>95</v>
      </c>
      <c r="K28" s="213">
        <v>95</v>
      </c>
      <c r="L28" s="213">
        <v>95</v>
      </c>
      <c r="M28" s="213">
        <v>95</v>
      </c>
      <c r="N28" s="213">
        <v>95</v>
      </c>
      <c r="O28" s="213">
        <v>95</v>
      </c>
      <c r="P28" s="213">
        <v>95</v>
      </c>
      <c r="Q28" s="213">
        <v>95</v>
      </c>
      <c r="R28" s="213">
        <v>95</v>
      </c>
    </row>
    <row r="29" spans="2:18" hidden="1" outlineLevel="1" x14ac:dyDescent="0.25">
      <c r="B29" s="202" t="s">
        <v>251</v>
      </c>
      <c r="C29" s="78"/>
      <c r="D29" s="203"/>
      <c r="E29" s="203"/>
      <c r="F29" s="194">
        <f t="shared" ref="F29:F34" si="5">SUM(G29:R29)</f>
        <v>1140</v>
      </c>
      <c r="G29" s="213">
        <v>95</v>
      </c>
      <c r="H29" s="213">
        <v>95</v>
      </c>
      <c r="I29" s="213">
        <v>95</v>
      </c>
      <c r="J29" s="213">
        <v>95</v>
      </c>
      <c r="K29" s="213">
        <v>95</v>
      </c>
      <c r="L29" s="213">
        <v>95</v>
      </c>
      <c r="M29" s="213">
        <v>95</v>
      </c>
      <c r="N29" s="213">
        <v>95</v>
      </c>
      <c r="O29" s="213">
        <v>95</v>
      </c>
      <c r="P29" s="213">
        <v>95</v>
      </c>
      <c r="Q29" s="213">
        <v>95</v>
      </c>
      <c r="R29" s="213">
        <v>95</v>
      </c>
    </row>
    <row r="30" spans="2:18" hidden="1" outlineLevel="1" x14ac:dyDescent="0.25">
      <c r="B30" s="202" t="s">
        <v>252</v>
      </c>
      <c r="C30" s="78"/>
      <c r="D30" s="203"/>
      <c r="E30" s="203"/>
      <c r="F30" s="194">
        <f t="shared" si="5"/>
        <v>1140</v>
      </c>
      <c r="G30" s="213">
        <v>95</v>
      </c>
      <c r="H30" s="213">
        <v>95</v>
      </c>
      <c r="I30" s="213">
        <v>95</v>
      </c>
      <c r="J30" s="213">
        <v>95</v>
      </c>
      <c r="K30" s="213">
        <v>95</v>
      </c>
      <c r="L30" s="213">
        <v>95</v>
      </c>
      <c r="M30" s="213">
        <v>95</v>
      </c>
      <c r="N30" s="213">
        <v>95</v>
      </c>
      <c r="O30" s="213">
        <v>95</v>
      </c>
      <c r="P30" s="213">
        <v>95</v>
      </c>
      <c r="Q30" s="213">
        <v>95</v>
      </c>
      <c r="R30" s="213">
        <v>95</v>
      </c>
    </row>
    <row r="31" spans="2:18" hidden="1" outlineLevel="1" x14ac:dyDescent="0.25">
      <c r="B31" s="202" t="s">
        <v>253</v>
      </c>
      <c r="C31" s="78"/>
      <c r="D31" s="203"/>
      <c r="E31" s="203"/>
      <c r="F31" s="194">
        <f t="shared" si="5"/>
        <v>1140</v>
      </c>
      <c r="G31" s="213">
        <v>95</v>
      </c>
      <c r="H31" s="213">
        <v>95</v>
      </c>
      <c r="I31" s="213">
        <v>95</v>
      </c>
      <c r="J31" s="213">
        <v>95</v>
      </c>
      <c r="K31" s="213">
        <v>95</v>
      </c>
      <c r="L31" s="213">
        <v>95</v>
      </c>
      <c r="M31" s="213">
        <v>95</v>
      </c>
      <c r="N31" s="213">
        <v>95</v>
      </c>
      <c r="O31" s="213">
        <v>95</v>
      </c>
      <c r="P31" s="213">
        <v>95</v>
      </c>
      <c r="Q31" s="213">
        <v>95</v>
      </c>
      <c r="R31" s="213">
        <v>95</v>
      </c>
    </row>
    <row r="32" spans="2:18" hidden="1" outlineLevel="1" x14ac:dyDescent="0.25">
      <c r="B32" s="202" t="s">
        <v>254</v>
      </c>
      <c r="C32" s="78"/>
      <c r="D32" s="203"/>
      <c r="E32" s="203"/>
      <c r="F32" s="194">
        <f t="shared" si="5"/>
        <v>1140</v>
      </c>
      <c r="G32" s="213">
        <v>95</v>
      </c>
      <c r="H32" s="213">
        <v>95</v>
      </c>
      <c r="I32" s="213">
        <v>95</v>
      </c>
      <c r="J32" s="213">
        <v>95</v>
      </c>
      <c r="K32" s="213">
        <v>95</v>
      </c>
      <c r="L32" s="213">
        <v>95</v>
      </c>
      <c r="M32" s="213">
        <v>95</v>
      </c>
      <c r="N32" s="213">
        <v>95</v>
      </c>
      <c r="O32" s="213">
        <v>95</v>
      </c>
      <c r="P32" s="213">
        <v>95</v>
      </c>
      <c r="Q32" s="213">
        <v>95</v>
      </c>
      <c r="R32" s="213">
        <v>95</v>
      </c>
    </row>
    <row r="33" spans="2:18" hidden="1" outlineLevel="1" x14ac:dyDescent="0.25">
      <c r="B33" s="202" t="s">
        <v>255</v>
      </c>
      <c r="C33" s="78"/>
      <c r="D33" s="203"/>
      <c r="E33" s="203"/>
      <c r="F33" s="194">
        <f t="shared" si="5"/>
        <v>1140</v>
      </c>
      <c r="G33" s="213">
        <v>95</v>
      </c>
      <c r="H33" s="213">
        <v>95</v>
      </c>
      <c r="I33" s="213">
        <v>95</v>
      </c>
      <c r="J33" s="213">
        <v>95</v>
      </c>
      <c r="K33" s="213">
        <v>95</v>
      </c>
      <c r="L33" s="213">
        <v>95</v>
      </c>
      <c r="M33" s="213">
        <v>95</v>
      </c>
      <c r="N33" s="213">
        <v>95</v>
      </c>
      <c r="O33" s="213">
        <v>95</v>
      </c>
      <c r="P33" s="213">
        <v>95</v>
      </c>
      <c r="Q33" s="213">
        <v>95</v>
      </c>
      <c r="R33" s="213">
        <v>95</v>
      </c>
    </row>
    <row r="34" spans="2:18" hidden="1" outlineLevel="1" x14ac:dyDescent="0.25">
      <c r="B34" s="202" t="s">
        <v>256</v>
      </c>
      <c r="C34" s="78"/>
      <c r="D34" s="203"/>
      <c r="E34" s="203"/>
      <c r="F34" s="194">
        <f t="shared" si="5"/>
        <v>1140</v>
      </c>
      <c r="G34" s="213">
        <v>95</v>
      </c>
      <c r="H34" s="213">
        <v>95</v>
      </c>
      <c r="I34" s="213">
        <v>95</v>
      </c>
      <c r="J34" s="213">
        <v>95</v>
      </c>
      <c r="K34" s="213">
        <v>95</v>
      </c>
      <c r="L34" s="213">
        <v>95</v>
      </c>
      <c r="M34" s="213">
        <v>95</v>
      </c>
      <c r="N34" s="213">
        <v>95</v>
      </c>
      <c r="O34" s="213">
        <v>95</v>
      </c>
      <c r="P34" s="213">
        <v>95</v>
      </c>
      <c r="Q34" s="213">
        <v>95</v>
      </c>
      <c r="R34" s="213">
        <v>95</v>
      </c>
    </row>
    <row r="35" spans="2:18" collapsed="1" x14ac:dyDescent="0.25">
      <c r="B35" s="189" t="s">
        <v>257</v>
      </c>
      <c r="C35" s="204"/>
      <c r="D35" s="201"/>
      <c r="E35" s="201">
        <f>SUM(F28:F34)</f>
        <v>7980</v>
      </c>
      <c r="F35" s="194"/>
      <c r="G35" s="213"/>
      <c r="H35" s="213"/>
      <c r="I35" s="213"/>
      <c r="J35" s="213"/>
      <c r="K35" s="213"/>
      <c r="L35" s="213"/>
      <c r="M35" s="213"/>
      <c r="N35" s="213"/>
      <c r="O35" s="213"/>
      <c r="P35" s="213"/>
      <c r="Q35" s="213"/>
      <c r="R35" s="214"/>
    </row>
    <row r="36" spans="2:18" hidden="1" x14ac:dyDescent="0.25">
      <c r="B36" s="80" t="s">
        <v>80</v>
      </c>
      <c r="C36" s="78"/>
      <c r="D36" s="71"/>
      <c r="E36" s="71"/>
      <c r="F36" s="109">
        <f t="shared" si="0"/>
        <v>0</v>
      </c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94"/>
    </row>
    <row r="37" spans="2:18" hidden="1" x14ac:dyDescent="0.25">
      <c r="B37" s="79" t="s">
        <v>139</v>
      </c>
      <c r="C37" s="78"/>
      <c r="D37" s="69"/>
      <c r="E37" s="69"/>
      <c r="F37" s="109">
        <f t="shared" si="0"/>
        <v>0</v>
      </c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94"/>
    </row>
    <row r="38" spans="2:18" hidden="1" x14ac:dyDescent="0.25">
      <c r="B38" s="79" t="s">
        <v>140</v>
      </c>
      <c r="C38" s="78"/>
      <c r="D38" s="69"/>
      <c r="E38" s="69"/>
      <c r="F38" s="109">
        <f t="shared" si="0"/>
        <v>0</v>
      </c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94"/>
    </row>
    <row r="39" spans="2:18" hidden="1" x14ac:dyDescent="0.25">
      <c r="B39" s="79" t="s">
        <v>197</v>
      </c>
      <c r="C39" s="78"/>
      <c r="D39" s="69"/>
      <c r="E39" s="69"/>
      <c r="F39" s="109">
        <f t="shared" si="0"/>
        <v>0</v>
      </c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94"/>
    </row>
    <row r="40" spans="2:18" hidden="1" x14ac:dyDescent="0.25">
      <c r="B40" s="79" t="s">
        <v>142</v>
      </c>
      <c r="C40" s="78"/>
      <c r="D40" s="69"/>
      <c r="E40" s="69"/>
      <c r="F40" s="109">
        <f t="shared" si="0"/>
        <v>0</v>
      </c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94"/>
    </row>
    <row r="41" spans="2:18" x14ac:dyDescent="0.25">
      <c r="B41" s="79"/>
      <c r="C41" s="78"/>
      <c r="D41" s="69"/>
      <c r="E41" s="69"/>
      <c r="F41" s="109">
        <f t="shared" si="0"/>
        <v>0</v>
      </c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94"/>
    </row>
    <row r="42" spans="2:18" x14ac:dyDescent="0.25">
      <c r="B42" s="79" t="s">
        <v>88</v>
      </c>
      <c r="C42" s="78"/>
      <c r="D42" s="69"/>
      <c r="E42" s="69">
        <f>F42</f>
        <v>700</v>
      </c>
      <c r="F42" s="109">
        <f t="shared" si="0"/>
        <v>700</v>
      </c>
      <c r="G42" s="88"/>
      <c r="H42" s="88"/>
      <c r="I42" s="88"/>
      <c r="J42" s="88"/>
      <c r="K42" s="88"/>
      <c r="L42" s="98">
        <v>700</v>
      </c>
      <c r="M42" s="88"/>
      <c r="N42" s="88"/>
      <c r="O42" s="88"/>
      <c r="P42" s="88"/>
      <c r="Q42" s="88"/>
      <c r="R42" s="94"/>
    </row>
    <row r="43" spans="2:18" x14ac:dyDescent="0.25">
      <c r="B43" s="79" t="s">
        <v>258</v>
      </c>
      <c r="C43" s="78"/>
      <c r="D43" s="69"/>
      <c r="E43" s="69">
        <f>F43</f>
        <v>1120</v>
      </c>
      <c r="F43" s="109">
        <f t="shared" si="0"/>
        <v>1120</v>
      </c>
      <c r="G43" s="88">
        <v>0</v>
      </c>
      <c r="H43" s="88">
        <v>0</v>
      </c>
      <c r="I43" s="88">
        <v>0</v>
      </c>
      <c r="J43" s="88">
        <v>0</v>
      </c>
      <c r="K43" s="88">
        <v>0</v>
      </c>
      <c r="L43" s="88">
        <v>160</v>
      </c>
      <c r="M43" s="88">
        <v>160</v>
      </c>
      <c r="N43" s="88">
        <v>160</v>
      </c>
      <c r="O43" s="88">
        <v>160</v>
      </c>
      <c r="P43" s="88">
        <v>160</v>
      </c>
      <c r="Q43" s="88">
        <v>160</v>
      </c>
      <c r="R43" s="94">
        <v>160</v>
      </c>
    </row>
    <row r="44" spans="2:18" x14ac:dyDescent="0.25">
      <c r="B44" s="79" t="s">
        <v>91</v>
      </c>
      <c r="C44" s="78"/>
      <c r="D44" s="69"/>
      <c r="E44" s="69"/>
      <c r="F44" s="109">
        <f t="shared" si="0"/>
        <v>0</v>
      </c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94"/>
    </row>
    <row r="45" spans="2:18" x14ac:dyDescent="0.25">
      <c r="B45" s="189" t="s">
        <v>259</v>
      </c>
      <c r="C45" s="78"/>
      <c r="D45" s="192">
        <v>8677.17</v>
      </c>
      <c r="E45" s="69"/>
      <c r="F45" s="110">
        <f t="shared" si="0"/>
        <v>0</v>
      </c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94"/>
    </row>
    <row r="46" spans="2:18" x14ac:dyDescent="0.25">
      <c r="B46" s="81"/>
      <c r="C46" s="191"/>
      <c r="F46" s="110">
        <f t="shared" si="0"/>
        <v>0</v>
      </c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94"/>
    </row>
    <row r="47" spans="2:18" x14ac:dyDescent="0.25">
      <c r="B47" s="79" t="s">
        <v>224</v>
      </c>
      <c r="C47" s="78"/>
      <c r="D47" s="69"/>
      <c r="E47" s="69">
        <v>6000</v>
      </c>
      <c r="F47" s="108">
        <f>SUM(G47:R47)</f>
        <v>0</v>
      </c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4"/>
    </row>
    <row r="48" spans="2:18" hidden="1" x14ac:dyDescent="0.25">
      <c r="B48" s="79" t="s">
        <v>93</v>
      </c>
      <c r="C48" s="78"/>
      <c r="D48" s="72"/>
      <c r="E48" s="72"/>
      <c r="F48" s="110">
        <f t="shared" si="0"/>
        <v>0</v>
      </c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94"/>
    </row>
    <row r="49" spans="2:18" hidden="1" x14ac:dyDescent="0.25">
      <c r="B49" s="79" t="s">
        <v>95</v>
      </c>
      <c r="C49" s="78"/>
      <c r="D49" s="72"/>
      <c r="E49" s="72"/>
      <c r="F49" s="110">
        <f t="shared" si="0"/>
        <v>0</v>
      </c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94"/>
    </row>
    <row r="50" spans="2:18" hidden="1" x14ac:dyDescent="0.25">
      <c r="B50" s="79" t="s">
        <v>97</v>
      </c>
      <c r="C50" s="78"/>
      <c r="D50" s="72"/>
      <c r="E50" s="72"/>
      <c r="F50" s="110">
        <f t="shared" si="0"/>
        <v>0</v>
      </c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94"/>
    </row>
    <row r="51" spans="2:18" hidden="1" x14ac:dyDescent="0.25">
      <c r="B51" s="84" t="s">
        <v>99</v>
      </c>
      <c r="C51" s="73"/>
      <c r="D51" s="74"/>
      <c r="E51" s="74"/>
      <c r="F51" s="110">
        <f t="shared" si="0"/>
        <v>0</v>
      </c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94"/>
    </row>
    <row r="52" spans="2:18" x14ac:dyDescent="0.25">
      <c r="B52" s="79" t="s">
        <v>212</v>
      </c>
      <c r="C52" s="78"/>
      <c r="D52" s="72"/>
      <c r="E52" s="72">
        <f>F52</f>
        <v>2000</v>
      </c>
      <c r="F52" s="110">
        <f t="shared" si="0"/>
        <v>2000</v>
      </c>
      <c r="G52" s="88"/>
      <c r="H52" s="88"/>
      <c r="I52" s="88"/>
      <c r="J52" s="88"/>
      <c r="K52" s="88"/>
      <c r="L52" s="88">
        <v>2000</v>
      </c>
      <c r="M52" s="88"/>
      <c r="N52" s="88"/>
      <c r="O52" s="88"/>
      <c r="P52" s="88"/>
      <c r="Q52" s="88"/>
      <c r="R52" s="94"/>
    </row>
    <row r="53" spans="2:18" x14ac:dyDescent="0.25">
      <c r="B53" s="20"/>
      <c r="C53" s="21"/>
      <c r="D53" s="30"/>
      <c r="E53" s="30"/>
      <c r="F53" s="111">
        <f t="shared" si="0"/>
        <v>0</v>
      </c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6"/>
    </row>
    <row r="56" spans="2:18" x14ac:dyDescent="0.25">
      <c r="H56" s="70"/>
    </row>
    <row r="64" spans="2:18" x14ac:dyDescent="0.25">
      <c r="L64" s="70"/>
    </row>
  </sheetData>
  <sheetProtection sheet="1" objects="1" scenarios="1"/>
  <mergeCells count="3">
    <mergeCell ref="G1:R1"/>
    <mergeCell ref="B4:R4"/>
    <mergeCell ref="E1:F1"/>
  </mergeCells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E34A3-B366-4D2B-8C35-1C9136C8EF11}">
  <dimension ref="C3:L19"/>
  <sheetViews>
    <sheetView workbookViewId="0">
      <selection activeCell="R8" sqref="R8"/>
    </sheetView>
  </sheetViews>
  <sheetFormatPr defaultRowHeight="15" x14ac:dyDescent="0.25"/>
  <cols>
    <col min="3" max="3" width="18.140625" customWidth="1"/>
    <col min="5" max="12" width="10.85546875" bestFit="1" customWidth="1"/>
  </cols>
  <sheetData>
    <row r="3" spans="3:12" x14ac:dyDescent="0.25">
      <c r="F3" s="218">
        <v>2023</v>
      </c>
      <c r="G3" s="218">
        <v>2022</v>
      </c>
      <c r="H3" s="218">
        <v>2021</v>
      </c>
      <c r="I3" s="218">
        <v>2020</v>
      </c>
      <c r="J3" s="218">
        <v>2019</v>
      </c>
      <c r="K3" s="218">
        <v>2018</v>
      </c>
      <c r="L3" s="218">
        <v>2017</v>
      </c>
    </row>
    <row r="4" spans="3:12" x14ac:dyDescent="0.25">
      <c r="C4" t="s">
        <v>260</v>
      </c>
      <c r="G4" s="218"/>
      <c r="H4" s="218"/>
      <c r="I4" s="218"/>
      <c r="J4" s="218"/>
      <c r="K4" s="218"/>
      <c r="L4" s="218"/>
    </row>
    <row r="5" spans="3:12" x14ac:dyDescent="0.25">
      <c r="G5" s="218"/>
      <c r="H5" s="218"/>
      <c r="I5" s="218"/>
      <c r="J5" s="218"/>
      <c r="K5" s="218"/>
      <c r="L5" s="218"/>
    </row>
    <row r="6" spans="3:12" x14ac:dyDescent="0.25">
      <c r="G6" s="218"/>
      <c r="H6" s="218"/>
      <c r="I6" s="218"/>
      <c r="J6" s="218"/>
      <c r="K6" s="218"/>
      <c r="L6" s="218"/>
    </row>
    <row r="7" spans="3:12" x14ac:dyDescent="0.25">
      <c r="G7" s="218"/>
      <c r="H7" s="218"/>
      <c r="I7" s="218"/>
      <c r="J7" s="218"/>
      <c r="K7" s="218"/>
      <c r="L7" s="218"/>
    </row>
    <row r="8" spans="3:12" x14ac:dyDescent="0.25">
      <c r="G8" s="218"/>
      <c r="H8" s="218"/>
      <c r="I8" s="218"/>
      <c r="J8" s="218"/>
      <c r="K8" s="218"/>
      <c r="L8" s="218"/>
    </row>
    <row r="9" spans="3:12" x14ac:dyDescent="0.25">
      <c r="G9" s="218"/>
      <c r="H9" s="218"/>
      <c r="I9" s="218"/>
      <c r="J9" s="218"/>
      <c r="K9" s="218"/>
      <c r="L9" s="218"/>
    </row>
    <row r="10" spans="3:12" x14ac:dyDescent="0.25">
      <c r="G10" s="218"/>
      <c r="H10" s="218"/>
      <c r="I10" s="218"/>
      <c r="J10" s="218"/>
      <c r="K10" s="218"/>
      <c r="L10" s="218"/>
    </row>
    <row r="11" spans="3:12" x14ac:dyDescent="0.25">
      <c r="G11" s="218"/>
      <c r="H11" s="218"/>
      <c r="I11" s="218"/>
      <c r="J11" s="218"/>
      <c r="K11" s="218"/>
      <c r="L11" s="218"/>
    </row>
    <row r="12" spans="3:12" x14ac:dyDescent="0.25">
      <c r="G12" s="218"/>
      <c r="H12" s="218"/>
      <c r="I12" s="218"/>
      <c r="J12" s="218"/>
      <c r="K12" s="218"/>
      <c r="L12" s="218"/>
    </row>
    <row r="13" spans="3:12" x14ac:dyDescent="0.25">
      <c r="C13" t="s">
        <v>261</v>
      </c>
      <c r="E13" t="s">
        <v>262</v>
      </c>
      <c r="G13" s="12">
        <v>1779</v>
      </c>
      <c r="H13" s="12">
        <v>1667</v>
      </c>
      <c r="I13" s="12">
        <v>1686</v>
      </c>
      <c r="J13" s="12">
        <v>1750</v>
      </c>
      <c r="K13" s="12">
        <v>1637</v>
      </c>
      <c r="L13" s="12">
        <v>1402</v>
      </c>
    </row>
    <row r="14" spans="3:12" x14ac:dyDescent="0.25">
      <c r="E14" t="s">
        <v>263</v>
      </c>
      <c r="F14" s="12"/>
      <c r="G14" s="12">
        <v>1519</v>
      </c>
    </row>
    <row r="15" spans="3:12" x14ac:dyDescent="0.25">
      <c r="E15" t="s">
        <v>264</v>
      </c>
      <c r="F15" s="12"/>
      <c r="G15" s="12"/>
    </row>
    <row r="19" spans="3:3" x14ac:dyDescent="0.25">
      <c r="C19" t="s">
        <v>265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91AC0-B84A-4732-A284-A9EE2CEC4CAA}">
  <dimension ref="A1:P53"/>
  <sheetViews>
    <sheetView workbookViewId="0">
      <pane xSplit="16" ySplit="2" topLeftCell="Q17" activePane="bottomRight" state="frozen"/>
      <selection pane="topRight"/>
      <selection pane="bottomLeft"/>
      <selection pane="bottomRight" activeCell="G17" sqref="G17"/>
    </sheetView>
  </sheetViews>
  <sheetFormatPr defaultRowHeight="15" x14ac:dyDescent="0.25"/>
  <cols>
    <col min="3" max="3" width="32.28515625" customWidth="1"/>
    <col min="4" max="4" width="11.85546875" style="12" bestFit="1" customWidth="1"/>
    <col min="5" max="5" width="11.42578125" bestFit="1" customWidth="1"/>
    <col min="6" max="6" width="10" customWidth="1"/>
    <col min="7" max="8" width="10.28515625" bestFit="1" customWidth="1"/>
    <col min="9" max="9" width="8.7109375" bestFit="1" customWidth="1"/>
    <col min="13" max="14" width="10.28515625" bestFit="1" customWidth="1"/>
    <col min="16" max="16" width="10.28515625" bestFit="1" customWidth="1"/>
  </cols>
  <sheetData>
    <row r="1" spans="1:16" x14ac:dyDescent="0.25">
      <c r="A1" s="2"/>
      <c r="B1" s="2"/>
      <c r="C1" s="2"/>
      <c r="D1" s="9"/>
      <c r="E1" s="578" t="s">
        <v>266</v>
      </c>
      <c r="F1" s="578"/>
      <c r="G1" s="578"/>
      <c r="H1" s="578"/>
      <c r="I1" s="578"/>
      <c r="J1" s="578"/>
      <c r="K1" s="578"/>
      <c r="L1" s="578"/>
      <c r="M1" s="578"/>
      <c r="N1" s="578"/>
      <c r="O1" s="578"/>
      <c r="P1" s="578"/>
    </row>
    <row r="2" spans="1:16" x14ac:dyDescent="0.25">
      <c r="A2" s="2"/>
      <c r="B2" s="2"/>
      <c r="C2" s="2"/>
      <c r="D2" s="9"/>
      <c r="E2" s="3" t="s">
        <v>42</v>
      </c>
      <c r="F2" s="3" t="s">
        <v>43</v>
      </c>
      <c r="G2" s="3" t="s">
        <v>44</v>
      </c>
      <c r="H2" s="3" t="s">
        <v>45</v>
      </c>
      <c r="I2" s="3" t="s">
        <v>46</v>
      </c>
      <c r="J2" s="3" t="s">
        <v>47</v>
      </c>
      <c r="K2" s="3" t="s">
        <v>115</v>
      </c>
      <c r="L2" s="3" t="s">
        <v>49</v>
      </c>
      <c r="M2" s="3" t="s">
        <v>50</v>
      </c>
      <c r="N2" s="3" t="s">
        <v>51</v>
      </c>
      <c r="O2" s="3" t="s">
        <v>52</v>
      </c>
      <c r="P2" s="3" t="s">
        <v>53</v>
      </c>
    </row>
    <row r="3" spans="1:16" x14ac:dyDescent="0.25">
      <c r="A3" s="2"/>
      <c r="B3" s="2"/>
      <c r="C3" s="2" t="s">
        <v>267</v>
      </c>
      <c r="D3" s="9">
        <v>26381.74</v>
      </c>
      <c r="E3" s="4"/>
      <c r="F3" s="4"/>
      <c r="G3" s="4"/>
      <c r="H3" s="4"/>
      <c r="I3" s="2"/>
      <c r="J3" s="2"/>
      <c r="K3" s="2"/>
      <c r="L3" s="2"/>
      <c r="M3" s="2"/>
      <c r="N3" s="2"/>
      <c r="O3" s="2"/>
      <c r="P3" s="2"/>
    </row>
    <row r="4" spans="1:16" x14ac:dyDescent="0.25">
      <c r="A4" s="5"/>
      <c r="B4" s="5"/>
      <c r="C4" s="5" t="s">
        <v>199</v>
      </c>
      <c r="D4" s="10">
        <f>SUM(D6:D54)</f>
        <v>70963.659999999974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x14ac:dyDescent="0.25">
      <c r="A5" s="2"/>
      <c r="B5" s="2"/>
      <c r="C5" s="2"/>
      <c r="D5" s="9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25">
      <c r="A6" s="2"/>
      <c r="B6" s="2"/>
      <c r="C6" s="2" t="s">
        <v>268</v>
      </c>
      <c r="D6" s="9">
        <v>7800</v>
      </c>
      <c r="E6" s="4"/>
      <c r="F6" s="2"/>
      <c r="G6" s="2"/>
      <c r="H6" s="4"/>
      <c r="I6" s="2"/>
      <c r="J6" s="2"/>
      <c r="K6" s="2"/>
      <c r="L6" s="2"/>
      <c r="M6" s="2"/>
      <c r="N6" s="2"/>
      <c r="O6" s="2"/>
      <c r="P6" s="2"/>
    </row>
    <row r="7" spans="1:16" x14ac:dyDescent="0.25">
      <c r="A7" s="2"/>
      <c r="B7" s="2"/>
      <c r="C7" s="2" t="s">
        <v>63</v>
      </c>
      <c r="D7" s="9">
        <f>1084.17</f>
        <v>1084.17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25">
      <c r="A8" s="2"/>
      <c r="B8" s="2"/>
      <c r="C8" s="2" t="s">
        <v>64</v>
      </c>
      <c r="D8" s="9" t="s">
        <v>269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25">
      <c r="A9" s="2"/>
      <c r="B9" s="2"/>
      <c r="C9" s="2" t="s">
        <v>270</v>
      </c>
      <c r="D9" s="9">
        <f>SUM(E9:I9)+225+930.91</f>
        <v>1155.9099999999999</v>
      </c>
      <c r="E9" s="4"/>
      <c r="F9" s="4"/>
      <c r="G9" s="4"/>
      <c r="H9" s="4"/>
      <c r="I9" s="4"/>
      <c r="J9" s="2"/>
      <c r="K9" s="2"/>
      <c r="L9" s="2"/>
      <c r="M9" s="2"/>
      <c r="N9" s="2"/>
      <c r="O9" s="2"/>
      <c r="P9" s="2"/>
    </row>
    <row r="10" spans="1:16" x14ac:dyDescent="0.25">
      <c r="A10" s="2"/>
      <c r="B10" s="2"/>
      <c r="C10" t="s">
        <v>271</v>
      </c>
      <c r="D10" s="9">
        <v>900</v>
      </c>
      <c r="E10" s="4"/>
      <c r="F10" s="4"/>
      <c r="G10" s="4"/>
      <c r="H10" s="4"/>
      <c r="I10" s="4"/>
      <c r="J10" s="2"/>
      <c r="K10" s="2"/>
      <c r="L10" s="2"/>
      <c r="M10" s="2"/>
      <c r="N10" s="2"/>
      <c r="O10" s="2"/>
      <c r="P10" s="2"/>
    </row>
    <row r="11" spans="1:16" x14ac:dyDescent="0.25">
      <c r="A11" s="2"/>
      <c r="B11" s="2"/>
      <c r="C11" t="s">
        <v>69</v>
      </c>
      <c r="D11" s="9">
        <f>SUM(E11:H11)</f>
        <v>0</v>
      </c>
      <c r="E11" s="4"/>
      <c r="F11" s="4"/>
      <c r="G11" s="4"/>
      <c r="H11" s="4"/>
      <c r="I11" s="4"/>
      <c r="J11" s="2"/>
      <c r="K11" s="2"/>
      <c r="L11" s="2"/>
      <c r="M11" s="2"/>
      <c r="N11" s="2"/>
      <c r="O11" s="2"/>
      <c r="P11" s="2"/>
    </row>
    <row r="12" spans="1:16" x14ac:dyDescent="0.25">
      <c r="A12" s="2"/>
      <c r="B12" s="2"/>
      <c r="C12" s="2" t="s">
        <v>120</v>
      </c>
      <c r="D12" s="9">
        <f>476.95</f>
        <v>476.95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25">
      <c r="A13" s="2"/>
      <c r="B13" s="2"/>
      <c r="C13" s="2" t="s">
        <v>272</v>
      </c>
      <c r="D13" s="9">
        <v>422.58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25">
      <c r="A14" s="2"/>
      <c r="B14" s="2"/>
      <c r="C14" s="2"/>
      <c r="D14" s="9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25">
      <c r="A15" s="2"/>
      <c r="B15" s="2"/>
      <c r="C15" s="2" t="s">
        <v>73</v>
      </c>
      <c r="D15" s="9">
        <v>9325.49</v>
      </c>
      <c r="E15" s="4"/>
      <c r="F15" s="4"/>
      <c r="G15" s="4"/>
      <c r="H15" s="2"/>
      <c r="I15" s="2"/>
      <c r="J15" s="2"/>
      <c r="K15" s="4"/>
      <c r="L15" s="2"/>
      <c r="M15" s="2"/>
      <c r="N15" s="4"/>
      <c r="O15" s="2"/>
      <c r="P15" s="4"/>
    </row>
    <row r="16" spans="1:16" x14ac:dyDescent="0.25">
      <c r="A16" s="2"/>
      <c r="B16" s="2"/>
      <c r="C16" s="2" t="s">
        <v>273</v>
      </c>
      <c r="D16" s="9">
        <v>3056.02</v>
      </c>
      <c r="E16" s="4"/>
      <c r="F16" s="4"/>
      <c r="G16" s="2"/>
      <c r="H16" s="4"/>
      <c r="I16" s="2"/>
      <c r="J16" s="2"/>
      <c r="K16" s="2"/>
      <c r="L16" s="2"/>
      <c r="M16" s="2"/>
      <c r="N16" s="2"/>
      <c r="O16" s="2"/>
      <c r="P16" s="2"/>
    </row>
    <row r="17" spans="1:16" x14ac:dyDescent="0.25">
      <c r="A17" s="2"/>
      <c r="B17" s="2"/>
      <c r="C17" s="2" t="s">
        <v>74</v>
      </c>
      <c r="D17" s="9">
        <v>625</v>
      </c>
      <c r="E17" s="4"/>
      <c r="F17" s="4"/>
      <c r="G17" s="4"/>
      <c r="H17" s="2"/>
      <c r="I17" s="2"/>
      <c r="J17" s="2"/>
      <c r="K17" s="4"/>
      <c r="L17" s="4"/>
      <c r="M17" s="2"/>
      <c r="N17" s="2"/>
      <c r="O17" s="2"/>
      <c r="P17" s="2"/>
    </row>
    <row r="18" spans="1:16" x14ac:dyDescent="0.25">
      <c r="A18" s="2"/>
      <c r="B18" s="2"/>
      <c r="C18" s="2"/>
      <c r="D18" s="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25">
      <c r="A19" s="2"/>
      <c r="B19" s="2"/>
      <c r="C19" s="2" t="s">
        <v>274</v>
      </c>
      <c r="D19" s="9">
        <f>SUM(E19:H19)+418+239.94+102.16</f>
        <v>760.1</v>
      </c>
      <c r="E19" s="4"/>
      <c r="F19" s="4"/>
      <c r="G19" s="4"/>
      <c r="H19" s="4"/>
      <c r="I19" s="2"/>
      <c r="J19" s="2"/>
      <c r="K19" s="2"/>
      <c r="L19" s="2"/>
      <c r="M19" s="2"/>
      <c r="N19" s="2"/>
      <c r="O19" s="2"/>
      <c r="P19" s="2"/>
    </row>
    <row r="20" spans="1:16" x14ac:dyDescent="0.25">
      <c r="A20" s="2"/>
      <c r="B20" s="2"/>
      <c r="C20" s="2" t="s">
        <v>78</v>
      </c>
      <c r="D20" s="9">
        <v>115.38</v>
      </c>
      <c r="E20" s="4"/>
      <c r="F20" s="4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25">
      <c r="A21" s="2"/>
      <c r="B21" s="2"/>
      <c r="C21" s="2" t="s">
        <v>79</v>
      </c>
      <c r="D21" s="9">
        <f>21.9</f>
        <v>21.9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25">
      <c r="A22" s="2"/>
      <c r="B22" s="2"/>
      <c r="C22" s="7" t="s">
        <v>80</v>
      </c>
      <c r="D22" s="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25">
      <c r="A23" s="2"/>
      <c r="B23" s="2"/>
      <c r="C23" s="8" t="s">
        <v>275</v>
      </c>
      <c r="D23" s="9">
        <f>912.6+M23</f>
        <v>912.6</v>
      </c>
      <c r="E23" s="2"/>
      <c r="F23" s="2"/>
      <c r="G23" s="2"/>
      <c r="H23" s="2"/>
      <c r="I23" s="2"/>
      <c r="J23" s="2"/>
      <c r="K23" s="2"/>
      <c r="L23" s="2"/>
      <c r="M23" s="4"/>
      <c r="N23" s="2"/>
      <c r="O23" s="2"/>
      <c r="P23" s="2"/>
    </row>
    <row r="24" spans="1:16" x14ac:dyDescent="0.25">
      <c r="A24" s="2"/>
      <c r="B24" s="2"/>
      <c r="C24" s="8" t="s">
        <v>276</v>
      </c>
      <c r="D24" s="11">
        <v>56.59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25">
      <c r="A25" s="2"/>
      <c r="B25" s="2"/>
      <c r="C25" s="8" t="s">
        <v>277</v>
      </c>
      <c r="D25" s="11">
        <v>13.23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25">
      <c r="A26" s="2"/>
      <c r="B26" s="2"/>
      <c r="C26" s="2" t="s">
        <v>278</v>
      </c>
      <c r="D26" s="11">
        <v>1.98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25">
      <c r="A27" s="2"/>
      <c r="B27" s="2"/>
      <c r="C27" s="2" t="s">
        <v>279</v>
      </c>
      <c r="D27" s="9">
        <v>7131</v>
      </c>
      <c r="E27" s="2"/>
      <c r="F27" s="4"/>
      <c r="G27" s="4"/>
      <c r="H27" s="4"/>
      <c r="I27" s="2"/>
      <c r="J27" s="2"/>
      <c r="K27" s="2"/>
      <c r="L27" s="2"/>
      <c r="M27" s="2"/>
      <c r="N27" s="2"/>
      <c r="O27" s="2"/>
      <c r="P27" s="2"/>
    </row>
    <row r="28" spans="1:16" x14ac:dyDescent="0.25">
      <c r="A28" s="2"/>
      <c r="B28" s="2"/>
      <c r="C28" s="2" t="s">
        <v>280</v>
      </c>
      <c r="D28" s="9">
        <v>464.27</v>
      </c>
      <c r="E28" s="2"/>
      <c r="F28" s="4"/>
      <c r="G28" s="4"/>
      <c r="H28" s="4"/>
      <c r="I28" s="4"/>
      <c r="J28" s="4"/>
      <c r="K28" s="4"/>
      <c r="L28" s="4"/>
      <c r="M28" s="4"/>
      <c r="N28" s="2"/>
      <c r="O28" s="2"/>
      <c r="P28" s="2"/>
    </row>
    <row r="29" spans="1:16" x14ac:dyDescent="0.25">
      <c r="A29" s="2"/>
      <c r="B29" s="2"/>
      <c r="C29" s="2" t="s">
        <v>91</v>
      </c>
      <c r="D29" s="9">
        <v>1408.5</v>
      </c>
      <c r="E29" s="4"/>
      <c r="F29" s="4"/>
      <c r="G29" s="4"/>
      <c r="H29" s="4"/>
      <c r="I29" s="4"/>
      <c r="J29" s="4"/>
      <c r="K29" s="4"/>
      <c r="L29" s="4"/>
      <c r="M29" s="4"/>
      <c r="N29" s="2"/>
      <c r="O29" s="4"/>
      <c r="P29" s="4"/>
    </row>
    <row r="30" spans="1:16" x14ac:dyDescent="0.25">
      <c r="A30" s="2"/>
      <c r="B30" s="2"/>
      <c r="C30" s="2" t="s">
        <v>281</v>
      </c>
      <c r="D30" s="9">
        <f>74.48+488.4+97.88+366.67+332.46+573.33+40+659.98+500</f>
        <v>3133.2000000000003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25">
      <c r="A31" s="2"/>
      <c r="B31" s="2"/>
      <c r="C31" s="2" t="s">
        <v>282</v>
      </c>
      <c r="D31" s="9">
        <f>SUM(E31:H31)</f>
        <v>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25">
      <c r="A32" s="2"/>
      <c r="B32" s="2"/>
      <c r="C32" s="2" t="s">
        <v>283</v>
      </c>
      <c r="D32" s="9">
        <f>645</f>
        <v>645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25">
      <c r="A33" s="2"/>
      <c r="B33" s="2"/>
      <c r="C33" s="2"/>
      <c r="D33" s="9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25">
      <c r="A34" s="2"/>
      <c r="B34" s="2"/>
      <c r="C34" s="2" t="s">
        <v>82</v>
      </c>
      <c r="D34" s="9">
        <v>360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25">
      <c r="A35" s="2"/>
      <c r="B35" s="2"/>
      <c r="C35" s="2" t="s">
        <v>284</v>
      </c>
      <c r="D35" s="9">
        <v>884.19</v>
      </c>
      <c r="E35" s="4"/>
      <c r="F35" s="4"/>
      <c r="G35" s="4"/>
      <c r="H35" s="4"/>
      <c r="I35" s="4"/>
      <c r="J35" s="2"/>
      <c r="K35" s="2"/>
      <c r="L35" s="2"/>
      <c r="M35" s="2"/>
      <c r="N35" s="2"/>
      <c r="O35" s="2"/>
      <c r="P35" s="2"/>
    </row>
    <row r="36" spans="1:16" x14ac:dyDescent="0.25">
      <c r="A36" s="2"/>
      <c r="B36" s="2"/>
      <c r="C36" s="2" t="s">
        <v>285</v>
      </c>
      <c r="D36" s="9">
        <v>420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25">
      <c r="A37" s="2"/>
      <c r="B37" s="2">
        <v>0.5</v>
      </c>
      <c r="C37" s="2" t="s">
        <v>286</v>
      </c>
      <c r="D37" s="9">
        <v>64.069999999999993</v>
      </c>
      <c r="E37" s="4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25">
      <c r="A38" s="2"/>
      <c r="B38" s="2"/>
      <c r="C38" s="2" t="s">
        <v>118</v>
      </c>
      <c r="D38" s="9" t="s">
        <v>269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25">
      <c r="A39" s="2"/>
      <c r="B39" s="2"/>
      <c r="C39" s="2"/>
      <c r="D39" s="9" t="s">
        <v>269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25">
      <c r="A40" s="2"/>
      <c r="B40" s="2"/>
      <c r="C40" s="2"/>
      <c r="D40" s="9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25">
      <c r="A41" s="2"/>
      <c r="B41" s="2"/>
      <c r="C41" s="2"/>
      <c r="D41" s="9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25">
      <c r="A42" s="2"/>
      <c r="B42" s="2"/>
      <c r="C42" s="2" t="s">
        <v>287</v>
      </c>
      <c r="D42" s="9">
        <v>750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25">
      <c r="A43" s="2"/>
      <c r="B43" s="2"/>
      <c r="C43" s="2" t="s">
        <v>288</v>
      </c>
      <c r="D43" s="9">
        <f>1000+775</f>
        <v>1775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25">
      <c r="A44" s="2"/>
      <c r="B44" s="2"/>
      <c r="C44" s="2" t="s">
        <v>95</v>
      </c>
      <c r="D44" s="9">
        <f>154.34+1600+1592</f>
        <v>3346.34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25">
      <c r="A45" s="2"/>
      <c r="B45" s="2"/>
      <c r="C45" s="2" t="s">
        <v>289</v>
      </c>
      <c r="D45" s="9">
        <v>306.45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25">
      <c r="A46" s="2"/>
      <c r="B46" s="2"/>
      <c r="C46" s="2" t="s">
        <v>290</v>
      </c>
      <c r="D46" s="9">
        <v>213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25">
      <c r="A47" s="2"/>
      <c r="B47" s="2"/>
      <c r="C47" s="2" t="s">
        <v>291</v>
      </c>
      <c r="D47" s="9">
        <v>2000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25">
      <c r="A48" s="2"/>
      <c r="B48" s="2"/>
      <c r="C48" s="2" t="s">
        <v>292</v>
      </c>
      <c r="D48" s="9">
        <v>1000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25">
      <c r="A49" s="2"/>
      <c r="B49" s="2"/>
      <c r="C49" s="2" t="s">
        <v>293</v>
      </c>
      <c r="D49" s="9">
        <v>210.99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25">
      <c r="A50" s="2"/>
      <c r="B50" s="2"/>
      <c r="C50" s="2" t="s">
        <v>294</v>
      </c>
      <c r="D50" s="9">
        <v>23.75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2" spans="1:16" x14ac:dyDescent="0.25">
      <c r="C52" t="s">
        <v>295</v>
      </c>
      <c r="D52" s="12">
        <v>2600</v>
      </c>
    </row>
    <row r="53" spans="1:16" x14ac:dyDescent="0.25">
      <c r="C53" t="s">
        <v>296</v>
      </c>
      <c r="D53" s="12">
        <v>17500</v>
      </c>
    </row>
  </sheetData>
  <mergeCells count="1">
    <mergeCell ref="E1:P1"/>
  </mergeCells>
  <pageMargins left="0.7" right="0.7" top="0.75" bottom="0.75" header="0.3" footer="0.3"/>
  <pageSetup fitToWidth="0" fitToHeight="0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E8BAE-BE87-4F72-B502-2F753DB9EE4D}">
  <dimension ref="C1:F33"/>
  <sheetViews>
    <sheetView workbookViewId="0">
      <selection activeCell="G1" sqref="G1"/>
    </sheetView>
  </sheetViews>
  <sheetFormatPr defaultRowHeight="15" x14ac:dyDescent="0.25"/>
  <cols>
    <col min="3" max="3" width="24.42578125" bestFit="1" customWidth="1"/>
    <col min="4" max="4" width="13.42578125" bestFit="1" customWidth="1"/>
    <col min="5" max="5" width="12.7109375" bestFit="1" customWidth="1"/>
    <col min="6" max="6" width="10" customWidth="1"/>
    <col min="7" max="7" width="10.7109375" customWidth="1"/>
  </cols>
  <sheetData>
    <row r="1" spans="3:6" x14ac:dyDescent="0.25">
      <c r="E1" t="s">
        <v>297</v>
      </c>
      <c r="F1" t="s">
        <v>298</v>
      </c>
    </row>
    <row r="2" spans="3:6" x14ac:dyDescent="0.25">
      <c r="C2" t="s">
        <v>299</v>
      </c>
    </row>
    <row r="3" spans="3:6" x14ac:dyDescent="0.25">
      <c r="C3" t="s">
        <v>300</v>
      </c>
    </row>
    <row r="4" spans="3:6" x14ac:dyDescent="0.25">
      <c r="C4" t="s">
        <v>301</v>
      </c>
    </row>
    <row r="5" spans="3:6" x14ac:dyDescent="0.25">
      <c r="C5" t="s">
        <v>302</v>
      </c>
    </row>
    <row r="6" spans="3:6" x14ac:dyDescent="0.25">
      <c r="C6" t="s">
        <v>303</v>
      </c>
    </row>
    <row r="7" spans="3:6" x14ac:dyDescent="0.25">
      <c r="C7" t="s">
        <v>304</v>
      </c>
    </row>
    <row r="8" spans="3:6" x14ac:dyDescent="0.25">
      <c r="C8" t="s">
        <v>305</v>
      </c>
    </row>
    <row r="9" spans="3:6" x14ac:dyDescent="0.25">
      <c r="C9" t="s">
        <v>306</v>
      </c>
    </row>
    <row r="10" spans="3:6" x14ac:dyDescent="0.25">
      <c r="C10" t="s">
        <v>307</v>
      </c>
    </row>
    <row r="11" spans="3:6" x14ac:dyDescent="0.25">
      <c r="D11" t="s">
        <v>308</v>
      </c>
    </row>
    <row r="12" spans="3:6" x14ac:dyDescent="0.25">
      <c r="D12" t="s">
        <v>309</v>
      </c>
    </row>
    <row r="13" spans="3:6" x14ac:dyDescent="0.25">
      <c r="D13" t="s">
        <v>310</v>
      </c>
    </row>
    <row r="14" spans="3:6" x14ac:dyDescent="0.25">
      <c r="D14" t="s">
        <v>311</v>
      </c>
    </row>
    <row r="15" spans="3:6" x14ac:dyDescent="0.25">
      <c r="D15" t="s">
        <v>312</v>
      </c>
    </row>
    <row r="16" spans="3:6" x14ac:dyDescent="0.25">
      <c r="D16" t="s">
        <v>312</v>
      </c>
    </row>
    <row r="17" spans="3:3" x14ac:dyDescent="0.25">
      <c r="C17" t="s">
        <v>313</v>
      </c>
    </row>
    <row r="18" spans="3:3" x14ac:dyDescent="0.25">
      <c r="C18" t="s">
        <v>314</v>
      </c>
    </row>
    <row r="19" spans="3:3" x14ac:dyDescent="0.25">
      <c r="C19" t="s">
        <v>315</v>
      </c>
    </row>
    <row r="20" spans="3:3" x14ac:dyDescent="0.25">
      <c r="C20" t="s">
        <v>316</v>
      </c>
    </row>
    <row r="21" spans="3:3" x14ac:dyDescent="0.25">
      <c r="C21" t="s">
        <v>317</v>
      </c>
    </row>
    <row r="22" spans="3:3" x14ac:dyDescent="0.25">
      <c r="C22" t="s">
        <v>318</v>
      </c>
    </row>
    <row r="23" spans="3:3" x14ac:dyDescent="0.25">
      <c r="C23" t="s">
        <v>155</v>
      </c>
    </row>
    <row r="24" spans="3:3" x14ac:dyDescent="0.25">
      <c r="C24" t="s">
        <v>319</v>
      </c>
    </row>
    <row r="25" spans="3:3" x14ac:dyDescent="0.25">
      <c r="C25" t="s">
        <v>320</v>
      </c>
    </row>
    <row r="26" spans="3:3" x14ac:dyDescent="0.25">
      <c r="C26" t="s">
        <v>321</v>
      </c>
    </row>
    <row r="27" spans="3:3" x14ac:dyDescent="0.25">
      <c r="C27" t="s">
        <v>322</v>
      </c>
    </row>
    <row r="28" spans="3:3" x14ac:dyDescent="0.25">
      <c r="C28" t="s">
        <v>323</v>
      </c>
    </row>
    <row r="29" spans="3:3" x14ac:dyDescent="0.25">
      <c r="C29" t="s">
        <v>324</v>
      </c>
    </row>
    <row r="31" spans="3:3" x14ac:dyDescent="0.25">
      <c r="C31" t="s">
        <v>325</v>
      </c>
    </row>
    <row r="32" spans="3:3" x14ac:dyDescent="0.25">
      <c r="C32" t="s">
        <v>326</v>
      </c>
    </row>
    <row r="33" spans="3:3" x14ac:dyDescent="0.25">
      <c r="C33" t="s">
        <v>327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C899B-8475-4355-9EE9-5759EE56AB9A}">
  <dimension ref="C2:K9"/>
  <sheetViews>
    <sheetView workbookViewId="0">
      <selection activeCell="G11" sqref="G11"/>
    </sheetView>
  </sheetViews>
  <sheetFormatPr defaultRowHeight="15" x14ac:dyDescent="0.25"/>
  <cols>
    <col min="3" max="3" width="16.140625" bestFit="1" customWidth="1"/>
    <col min="4" max="4" width="10.5703125" bestFit="1" customWidth="1"/>
    <col min="5" max="5" width="12.5703125" bestFit="1" customWidth="1"/>
    <col min="6" max="6" width="14" bestFit="1" customWidth="1"/>
    <col min="7" max="7" width="15.85546875" bestFit="1" customWidth="1"/>
    <col min="8" max="8" width="16" bestFit="1" customWidth="1"/>
    <col min="10" max="10" width="12.42578125" bestFit="1" customWidth="1"/>
    <col min="11" max="11" width="13.42578125" bestFit="1" customWidth="1"/>
  </cols>
  <sheetData>
    <row r="2" spans="3:11" x14ac:dyDescent="0.25">
      <c r="D2" s="242" t="s">
        <v>328</v>
      </c>
      <c r="E2" s="242" t="s">
        <v>329</v>
      </c>
      <c r="F2" s="242" t="s">
        <v>330</v>
      </c>
      <c r="G2" s="242" t="s">
        <v>331</v>
      </c>
      <c r="H2" s="242" t="s">
        <v>332</v>
      </c>
      <c r="I2" s="242" t="s">
        <v>333</v>
      </c>
      <c r="J2" s="242" t="s">
        <v>334</v>
      </c>
      <c r="K2" s="242" t="s">
        <v>335</v>
      </c>
    </row>
    <row r="3" spans="3:11" x14ac:dyDescent="0.25">
      <c r="C3" t="s">
        <v>336</v>
      </c>
    </row>
    <row r="5" spans="3:11" x14ac:dyDescent="0.25">
      <c r="C5" t="s">
        <v>200</v>
      </c>
    </row>
    <row r="7" spans="3:11" x14ac:dyDescent="0.25">
      <c r="C7" t="s">
        <v>337</v>
      </c>
    </row>
    <row r="9" spans="3:11" x14ac:dyDescent="0.25">
      <c r="C9" t="s">
        <v>338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DA54-5D8F-43D3-8732-89BE096CCC6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F16AA485BE684791667F087565664F" ma:contentTypeVersion="15" ma:contentTypeDescription="Create a new document." ma:contentTypeScope="" ma:versionID="1382c0a2902c07cb4a978d14c9d0d90e">
  <xsd:schema xmlns:xsd="http://www.w3.org/2001/XMLSchema" xmlns:xs="http://www.w3.org/2001/XMLSchema" xmlns:p="http://schemas.microsoft.com/office/2006/metadata/properties" xmlns:ns2="7dc771f6-da2e-4bd1-a70e-d17768d8552b" xmlns:ns3="aba09c29-35bd-4335-b6cc-74f029ed22c9" xmlns:ns4="b0fa510d-7618-4990-8d82-45385a8571b3" targetNamespace="http://schemas.microsoft.com/office/2006/metadata/properties" ma:root="true" ma:fieldsID="69d778743fc0fb119814200a832c7ff9" ns2:_="" ns3:_="" ns4:_="">
    <xsd:import namespace="7dc771f6-da2e-4bd1-a70e-d17768d8552b"/>
    <xsd:import namespace="aba09c29-35bd-4335-b6cc-74f029ed22c9"/>
    <xsd:import namespace="b0fa510d-7618-4990-8d82-45385a8571b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3:MonthNum" minOccurs="0"/>
                <xsd:element ref="ns3:MediaServiceDateTaken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c771f6-da2e-4bd1-a70e-d17768d8552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70da1760-388e-4423-a8c0-441d6bdb01c8}" ma:internalName="TaxCatchAll" ma:showField="CatchAllData" ma:web="7dc771f6-da2e-4bd1-a70e-d17768d855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09c29-35bd-4335-b6cc-74f029ed22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330b531-dd62-44ad-9bfd-ea1049f7e5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onthNum" ma:index="21" nillable="true" ma:displayName="MonthNum" ma:format="Dropdown" ma:internalName="MonthNum" ma:percentage="FALSE">
      <xsd:simpleType>
        <xsd:restriction base="dms:Number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fa510d-7618-4990-8d82-45385a8571b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7dc771f6-da2e-4bd1-a70e-d17768d8552b">6YDMQ6CUTPJ4-1427209179-895</_dlc_DocId>
    <_dlc_DocIdUrl xmlns="7dc771f6-da2e-4bd1-a70e-d17768d8552b">
      <Url>https://cloudbaud.sharepoint.com/sites/Accounting/Taxes/_layouts/15/DocIdRedir.aspx?ID=6YDMQ6CUTPJ4-1427209179-895</Url>
      <Description>6YDMQ6CUTPJ4-1427209179-895</Description>
    </_dlc_DocIdUrl>
    <TaxCatchAll xmlns="7dc771f6-da2e-4bd1-a70e-d17768d8552b" xsi:nil="true"/>
    <lcf76f155ced4ddcb4097134ff3c332f xmlns="aba09c29-35bd-4335-b6cc-74f029ed22c9">
      <Terms xmlns="http://schemas.microsoft.com/office/infopath/2007/PartnerControls"/>
    </lcf76f155ced4ddcb4097134ff3c332f>
    <SharedWithUsers xmlns="b0fa510d-7618-4990-8d82-45385a8571b3">
      <UserInfo>
        <DisplayName/>
        <AccountId xsi:nil="true"/>
        <AccountType/>
      </UserInfo>
    </SharedWithUsers>
    <MonthNum xmlns="aba09c29-35bd-4335-b6cc-74f029ed22c9" xsi:nil="true"/>
  </documentManagement>
</p:properties>
</file>

<file path=customXml/itemProps1.xml><?xml version="1.0" encoding="utf-8"?>
<ds:datastoreItem xmlns:ds="http://schemas.openxmlformats.org/officeDocument/2006/customXml" ds:itemID="{A72293FE-9E03-47A8-BBEF-5EA20D6A9E2F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E3FA9557-42AE-4DBF-866A-852AE67B5F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c771f6-da2e-4bd1-a70e-d17768d8552b"/>
    <ds:schemaRef ds:uri="aba09c29-35bd-4335-b6cc-74f029ed22c9"/>
    <ds:schemaRef ds:uri="b0fa510d-7618-4990-8d82-45385a8571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26CE5E-D7FC-406B-8D5C-3D9371BCC72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794AD3C-1E61-42C6-B07A-9D8F95EDF505}">
  <ds:schemaRefs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7dc771f6-da2e-4bd1-a70e-d17768d8552b"/>
    <ds:schemaRef ds:uri="http://purl.org/dc/terms/"/>
    <ds:schemaRef ds:uri="http://purl.org/dc/dcmitype/"/>
    <ds:schemaRef ds:uri="http://schemas.openxmlformats.org/package/2006/metadata/core-properties"/>
    <ds:schemaRef ds:uri="http://purl.org/dc/elements/1.1/"/>
    <ds:schemaRef ds:uri="b0fa510d-7618-4990-8d82-45385a8571b3"/>
    <ds:schemaRef ds:uri="aba09c29-35bd-4335-b6cc-74f029ed22c9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LH-23</vt:lpstr>
      <vt:lpstr>WR-23</vt:lpstr>
      <vt:lpstr>CB-24</vt:lpstr>
      <vt:lpstr>CB-23</vt:lpstr>
      <vt:lpstr>CB-22</vt:lpstr>
      <vt:lpstr>CB-21</vt:lpstr>
      <vt:lpstr>CB-20</vt:lpstr>
      <vt:lpstr>CB-19</vt:lpstr>
      <vt:lpstr>CB-18</vt:lpstr>
      <vt:lpstr>CB-17</vt:lpstr>
      <vt:lpstr>CC-24</vt:lpstr>
      <vt:lpstr>CC-23</vt:lpstr>
      <vt:lpstr>CC-22</vt:lpstr>
      <vt:lpstr>CC-21</vt:lpstr>
      <vt:lpstr>CC-20</vt:lpstr>
      <vt:lpstr>CC-19</vt:lpstr>
      <vt:lpstr>CC-18</vt:lpstr>
      <vt:lpstr>OC-23</vt:lpstr>
      <vt:lpstr>OC-22</vt:lpstr>
      <vt:lpstr>OC-21</vt:lpstr>
      <vt:lpstr>OC-20</vt:lpstr>
      <vt:lpstr>OC-19</vt:lpstr>
      <vt:lpstr>OC-18</vt:lpstr>
      <vt:lpstr>Home Insurance</vt:lpstr>
      <vt:lpstr>Robertos</vt:lpstr>
      <vt:lpstr>Office Equipments</vt:lpstr>
      <vt:lpstr>Real Estates</vt:lpstr>
    </vt:vector>
  </TitlesOfParts>
  <Manager>David Ramsey</Manager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2021 Tax Filing</dc:subject>
  <dc:creator>Jish Nath</dc:creator>
  <cp:keywords>2021</cp:keywords>
  <dc:description/>
  <cp:lastModifiedBy>Jishnu Nath</cp:lastModifiedBy>
  <cp:revision/>
  <dcterms:created xsi:type="dcterms:W3CDTF">2021-09-14T20:57:35Z</dcterms:created>
  <dcterms:modified xsi:type="dcterms:W3CDTF">2025-08-24T14:57:04Z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0x0101006EF16AA485BE684791667F087565664F</vt:lpwstr>
  </property>
  <property fmtid="{D5CDD505-2E9C-101B-9397-08002B2CF9AE}" pid="3" name="xd_ProgID">
    <vt:lpwstr/>
  </property>
  <property fmtid="{D5CDD505-2E9C-101B-9397-08002B2CF9AE}" pid="4" name="ComplianceAssetId">
    <vt:lpwstr/>
  </property>
  <property fmtid="{D5CDD505-2E9C-101B-9397-08002B2CF9AE}" pid="5" name="TemplateUrl">
    <vt:lpwstr/>
  </property>
  <property fmtid="{D5CDD505-2E9C-101B-9397-08002B2CF9AE}" pid="6" name="_dlc_DocIdItemGuid">
    <vt:lpwstr>6367d5c7-9b85-46c9-9046-30a81daba697</vt:lpwstr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SharedWithUsers">
    <vt:lpwstr>11;#BACKOFFICE Members</vt:lpwstr>
  </property>
  <property fmtid="{D5CDD505-2E9C-101B-9397-08002B2CF9AE}" pid="11" name="MediaServiceImageTags">
    <vt:lpwstr/>
  </property>
</Properties>
</file>