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threadedComments/threadedComment1.xml" ContentType="application/vnd.ms-excel.threadedcomments+xml"/>
  <Override PartName="/xl/persons/person.xml" ContentType="application/vnd.ms-excel.person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Taxes-FederalTaxesBizPersonal/Shared Documents/Federal Taxes Biz Personal/2018/"/>
    </mc:Choice>
  </mc:AlternateContent>
  <xr:revisionPtr revIDLastSave="42" documentId="13_ncr:1_{FF30D8B4-84FE-4754-8CF6-7A315A13803D}" xr6:coauthVersionLast="47" xr6:coauthVersionMax="47" xr10:uidLastSave="{F2C49B5D-227A-4D36-8FDD-AB9A3EC87459}"/>
  <bookViews>
    <workbookView xWindow="38280" yWindow="-120" windowWidth="29040" windowHeight="15990" activeTab="1" xr2:uid="{91B7E148-D819-4643-863E-0E8948DF1730}"/>
  </bookViews>
  <sheets>
    <sheet name="Individual" sheetId="3" r:id="rId1"/>
    <sheet name="CloudBaud" sheetId="2" r:id="rId2"/>
    <sheet name="Roberto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2" l="1"/>
  <c r="L59" i="2"/>
  <c r="L46" i="2"/>
  <c r="M55" i="2"/>
  <c r="N55" i="2"/>
  <c r="M26" i="2"/>
  <c r="D4" i="1"/>
  <c r="D9" i="1"/>
  <c r="K9" i="1"/>
  <c r="N26" i="2"/>
  <c r="D14" i="2"/>
  <c r="D18" i="2"/>
  <c r="F56" i="2"/>
  <c r="F58" i="2"/>
  <c r="O26" i="2"/>
  <c r="O55" i="2"/>
  <c r="H18" i="3"/>
  <c r="Q26" i="2"/>
  <c r="R55" i="2"/>
  <c r="R26" i="2"/>
  <c r="F37" i="2"/>
  <c r="F38" i="2"/>
  <c r="F39" i="2"/>
  <c r="S55" i="2"/>
  <c r="F9" i="2"/>
  <c r="F10" i="2"/>
  <c r="F11" i="2"/>
  <c r="F12" i="2"/>
  <c r="F13" i="2"/>
  <c r="S46" i="2"/>
  <c r="F46" i="2" s="1"/>
  <c r="D46" i="2" s="1"/>
  <c r="F47" i="2"/>
  <c r="F48" i="2"/>
  <c r="F49" i="2"/>
  <c r="F50" i="2"/>
  <c r="F51" i="2"/>
  <c r="F52" i="2"/>
  <c r="F53" i="2"/>
  <c r="F54" i="2"/>
  <c r="F57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45" i="2"/>
  <c r="F33" i="2"/>
  <c r="F34" i="2"/>
  <c r="F35" i="2"/>
  <c r="F36" i="2"/>
  <c r="F40" i="2"/>
  <c r="F25" i="2"/>
  <c r="F27" i="2"/>
  <c r="F28" i="2"/>
  <c r="F29" i="2"/>
  <c r="F30" i="2"/>
  <c r="F31" i="2"/>
  <c r="F32" i="2"/>
  <c r="D21" i="2"/>
  <c r="D22" i="2"/>
  <c r="D23" i="2"/>
  <c r="D8" i="2"/>
  <c r="D15" i="2"/>
  <c r="D16" i="2"/>
  <c r="D17" i="2"/>
  <c r="D19" i="2"/>
  <c r="S26" i="2"/>
  <c r="R20" i="2"/>
  <c r="Q20" i="2"/>
  <c r="P20" i="2"/>
  <c r="O20" i="2"/>
  <c r="K20" i="2"/>
  <c r="J20" i="2"/>
  <c r="I20" i="2"/>
  <c r="M20" i="2"/>
  <c r="L20" i="2"/>
  <c r="H20" i="2"/>
  <c r="F55" i="2" l="1"/>
  <c r="D55" i="2" s="1"/>
  <c r="F26" i="2"/>
  <c r="F24" i="2" s="1"/>
  <c r="D24" i="2" s="1"/>
  <c r="D20" i="2"/>
  <c r="F42" i="2" l="1"/>
  <c r="F41" i="2" s="1"/>
  <c r="D41" i="2" s="1"/>
  <c r="D6" i="2" s="1"/>
  <c r="D9" i="3"/>
  <c r="D7" i="3" l="1"/>
  <c r="D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B3" authorId="0" shapeId="0" xr:uid="{B3986654-8E18-47D1-9C07-3107188A305B}">
      <text>
        <r>
          <rPr>
            <sz val="11"/>
            <color theme="1"/>
            <rFont val="Calibri"/>
            <family val="2"/>
            <scheme val="minor"/>
          </rPr>
          <t>Jish Nath:
Deepika Nath ONLY.  Jish has no W2</t>
        </r>
      </text>
    </comment>
    <comment ref="B15" authorId="0" shapeId="0" xr:uid="{A2A24DA9-E3DD-4ACA-BC29-024D69048A64}">
      <text>
        <r>
          <rPr>
            <sz val="11"/>
            <color theme="1"/>
            <rFont val="Calibri"/>
            <family val="2"/>
            <scheme val="minor"/>
          </rPr>
          <t>Jish Nath:
Edward Jones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M20" authorId="0" shapeId="0" xr:uid="{3E7662C6-D816-4D15-BCE9-329EFF3C60B8}">
      <text>
        <r>
          <rPr>
            <b/>
            <sz val="9"/>
            <color indexed="81"/>
            <rFont val="Tahoma"/>
            <charset val="1"/>
          </rPr>
          <t>Jish Nath:</t>
        </r>
        <r>
          <rPr>
            <sz val="9"/>
            <color indexed="81"/>
            <rFont val="Tahoma"/>
            <charset val="1"/>
          </rPr>
          <t xml:space="preserve">
May 16-31: 3960</t>
        </r>
      </text>
    </comment>
    <comment ref="O20" authorId="0" shapeId="0" xr:uid="{A7A80D0C-9046-488B-95EB-DE21AA50DF1E}">
      <text>
        <r>
          <rPr>
            <b/>
            <sz val="9"/>
            <color indexed="81"/>
            <rFont val="Tahoma"/>
            <charset val="1"/>
          </rPr>
          <t>Jish Nath:</t>
        </r>
        <r>
          <rPr>
            <sz val="9"/>
            <color indexed="81"/>
            <rFont val="Tahoma"/>
            <charset val="1"/>
          </rPr>
          <t xml:space="preserve">
june 1-15: 3960
june 16-30: 3600</t>
        </r>
      </text>
    </comment>
    <comment ref="R37" authorId="0" shapeId="0" xr:uid="{8AEBA186-A007-487D-8670-72BE83B33580}">
      <text>
        <r>
          <rPr>
            <b/>
            <sz val="9"/>
            <color indexed="81"/>
            <rFont val="Tahoma"/>
            <charset val="1"/>
          </rPr>
          <t>Jish Nath:</t>
        </r>
        <r>
          <rPr>
            <sz val="9"/>
            <color indexed="81"/>
            <rFont val="Tahoma"/>
            <charset val="1"/>
          </rPr>
          <t xml:space="preserve">
John Swanson
</t>
        </r>
      </text>
    </comment>
    <comment ref="R58" authorId="0" shapeId="0" xr:uid="{03F7A83D-DB16-4F10-97F2-688A1F6B7CB3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tc={920324D9-8055-4D89-8794-FBCDA52AED79}</author>
    <author>Jish Nath</author>
  </authors>
  <commentList>
    <comment ref="C19" authorId="0" shapeId="0" xr:uid="{920324D9-8055-4D89-8794-FBCDA52AED7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@David  Inventory is what i am working on right now</t>
        </r>
      </text>
    </comment>
    <comment ref="D21" authorId="1" shapeId="0" xr:uid="{ACF790F3-06C4-4F15-AD0B-C9467C2DF767}">
      <text>
        <r>
          <rPr>
            <sz val="11"/>
            <color theme="1"/>
            <rFont val="Calibri"/>
            <family val="2"/>
            <scheme val="minor"/>
          </rPr>
          <t>Jish Nath:
Harland Checks (unclaimed from 2015)</t>
        </r>
      </text>
    </comment>
    <comment ref="C30" authorId="1" shapeId="0" xr:uid="{362514B5-DD72-4B05-9AB5-C258C784F96E}">
      <text>
        <r>
          <rPr>
            <sz val="11"/>
            <color theme="1"/>
            <rFont val="Calibri"/>
            <family val="2"/>
            <scheme val="minor"/>
          </rPr>
          <t xml:space="preserve">Jish Nath:
unclaimed in 2015 &amp; 2016 for these folks
</t>
        </r>
      </text>
    </comment>
    <comment ref="D30" authorId="1" shapeId="0" xr:uid="{E386C400-F60B-4E72-BBE0-0602D90CC1BD}">
      <text>
        <r>
          <rPr>
            <sz val="11"/>
            <color theme="1"/>
            <rFont val="Calibri"/>
            <family val="2"/>
            <scheme val="minor"/>
          </rPr>
          <t>Jish Nath:
659.98 for Kris Robbins in 2015
500 to Griffin Richardson</t>
        </r>
      </text>
    </comment>
    <comment ref="D32" authorId="1" shapeId="0" xr:uid="{C7A8F3B0-F661-48B6-9E9A-17554B3CC880}">
      <text>
        <r>
          <rPr>
            <sz val="11"/>
            <color theme="1"/>
            <rFont val="Calibri"/>
            <family val="2"/>
            <scheme val="minor"/>
          </rPr>
          <t>Jish Nath:
unclaimed DOH plan review from 2016</t>
        </r>
      </text>
    </comment>
    <comment ref="D44" authorId="1" shapeId="0" xr:uid="{774EE8C3-61F2-4AE4-9774-41DC3201084A}">
      <text>
        <r>
          <rPr>
            <sz val="11"/>
            <color theme="1"/>
            <rFont val="Calibri"/>
            <family val="2"/>
            <scheme val="minor"/>
          </rPr>
          <t>Jish Nath:
paint by jose gomez in 2016</t>
        </r>
      </text>
    </comment>
  </commentList>
</comments>
</file>

<file path=xl/sharedStrings.xml><?xml version="1.0" encoding="utf-8"?>
<sst xmlns="http://schemas.openxmlformats.org/spreadsheetml/2006/main" count="182" uniqueCount="151">
  <si>
    <t>W2 Wages</t>
  </si>
  <si>
    <t>Biz Income/Loss</t>
  </si>
  <si>
    <t>1. Robertos Pizza</t>
  </si>
  <si>
    <t>2. CloudBaud LLC</t>
  </si>
  <si>
    <t>Capital Gains/Loss</t>
  </si>
  <si>
    <t>Jishnu Roth IRA</t>
  </si>
  <si>
    <t>Deepika ROTH IRA</t>
  </si>
  <si>
    <t>SEP IRA</t>
  </si>
  <si>
    <t>1099-R</t>
  </si>
  <si>
    <t>Child Education Fund</t>
  </si>
  <si>
    <t>Itemized deductions</t>
  </si>
  <si>
    <t>Home Mortgage Interest</t>
  </si>
  <si>
    <t>Investment Interest</t>
  </si>
  <si>
    <t>Gifts to Charity</t>
  </si>
  <si>
    <t>Taxes Withheld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</si>
  <si>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</si>
  <si>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</si>
  <si>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</si>
  <si>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</si>
  <si>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</si>
  <si>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</si>
  <si>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</si>
  <si>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</si>
  <si>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</si>
  <si>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</si>
  <si>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</si>
  <si>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</si>
  <si>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</si>
  <si>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Total Revenue</t>
  </si>
  <si>
    <t>Total Expenses</t>
  </si>
  <si>
    <t>RENT</t>
  </si>
  <si>
    <t>ELECTRICITY</t>
  </si>
  <si>
    <t>WASTE</t>
  </si>
  <si>
    <t>EQUIPMENT LEASING</t>
  </si>
  <si>
    <t>Mobile Device (moto)</t>
  </si>
  <si>
    <t>Appliance Maintenance</t>
  </si>
  <si>
    <t>Business Insurance</t>
  </si>
  <si>
    <t>Coca Cola Machine</t>
  </si>
  <si>
    <t>WA DOR</t>
  </si>
  <si>
    <t>2017 Excise</t>
  </si>
  <si>
    <t>Garnishment Fee</t>
  </si>
  <si>
    <t>Food Inventory</t>
  </si>
  <si>
    <t>Supplies</t>
  </si>
  <si>
    <t>STATIONARIES</t>
  </si>
  <si>
    <t>PAYROLL</t>
  </si>
  <si>
    <t>SS withheld by ADP</t>
  </si>
  <si>
    <t>Medicare Tax Withheld by ADP</t>
  </si>
  <si>
    <t xml:space="preserve">Fed Tax Withheld </t>
  </si>
  <si>
    <t>TEMP SERVICES</t>
  </si>
  <si>
    <t>ADP Fees</t>
  </si>
  <si>
    <t>Bank Fees</t>
  </si>
  <si>
    <t>Unclaimed Contract Labor</t>
  </si>
  <si>
    <t>LAUNDRY</t>
  </si>
  <si>
    <t>Professional Fees</t>
  </si>
  <si>
    <t>WEB HOSTING</t>
  </si>
  <si>
    <t>Comcast Business BROADBAND</t>
  </si>
  <si>
    <t>PHONE</t>
  </si>
  <si>
    <t>CELLULAR</t>
  </si>
  <si>
    <t>Digital Ads</t>
  </si>
  <si>
    <t>Asbestos</t>
  </si>
  <si>
    <t>Flooring Cement</t>
  </si>
  <si>
    <t>Paint</t>
  </si>
  <si>
    <t>Ceiling Speakers</t>
  </si>
  <si>
    <t>low voltage wiring</t>
  </si>
  <si>
    <t>iPads Two</t>
  </si>
  <si>
    <t>iPad Stand</t>
  </si>
  <si>
    <t>Cash Drawer</t>
  </si>
  <si>
    <t>Bathroom Holder</t>
  </si>
  <si>
    <t>Furniture Fraud</t>
  </si>
  <si>
    <t>Remodeling Fraud</t>
  </si>
  <si>
    <t>Mobile Device (samsung)</t>
  </si>
  <si>
    <t>ASUS Laptop</t>
  </si>
  <si>
    <t>Biz Registration</t>
  </si>
  <si>
    <t>DOR</t>
  </si>
  <si>
    <t>LNI Insurance</t>
  </si>
  <si>
    <t>Professional Services</t>
  </si>
  <si>
    <t>Flooring</t>
  </si>
  <si>
    <t>bathroom</t>
  </si>
  <si>
    <t>electrical work</t>
  </si>
  <si>
    <t>Auto Mileage (client visits)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</si>
  <si>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</si>
  <si>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</si>
  <si>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</si>
  <si>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</si>
  <si>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</si>
  <si>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</si>
  <si>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</si>
  <si>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</si>
  <si>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LinkedIn</t>
  </si>
  <si>
    <t>Real Estate Taxes (Condo)</t>
  </si>
  <si>
    <t>Real Estate Taxes (Home)</t>
  </si>
  <si>
    <t>Medical/Dental HSA</t>
  </si>
  <si>
    <t>2018 only</t>
  </si>
  <si>
    <t>2018 ONLY</t>
  </si>
  <si>
    <t>1099 Revenue</t>
  </si>
  <si>
    <t>2018 IRS rate</t>
  </si>
  <si>
    <t>1. Advertising and Promotion</t>
  </si>
  <si>
    <t>2. Car Expenses</t>
  </si>
  <si>
    <t>3. Bad Debt</t>
  </si>
  <si>
    <t>4. Business Meals</t>
  </si>
  <si>
    <t>5. Business Insurance</t>
  </si>
  <si>
    <t>6. Business Loan Interest</t>
  </si>
  <si>
    <t>7. Contractors and Freelancers</t>
  </si>
  <si>
    <t>8. Education</t>
  </si>
  <si>
    <t>9. Equipment Depreciation</t>
  </si>
  <si>
    <t>10. Gifts</t>
  </si>
  <si>
    <t>11. Home Office</t>
  </si>
  <si>
    <t>12. Legal Fees</t>
  </si>
  <si>
    <t>13. Office Supplies</t>
  </si>
  <si>
    <t>14. Professional Fees</t>
  </si>
  <si>
    <t>15. Rent</t>
  </si>
  <si>
    <t>16. Salaries and Employee Benefits</t>
  </si>
  <si>
    <t>17. Startup Expenses</t>
  </si>
  <si>
    <t>18. Phone and Internet</t>
  </si>
  <si>
    <t>19. Travel</t>
  </si>
  <si>
    <t>11.1  Mortgage Interest</t>
  </si>
  <si>
    <t>11.2  ELECTRICITY</t>
  </si>
  <si>
    <t>11.3  WASTE</t>
  </si>
  <si>
    <t>11.5  Security</t>
  </si>
  <si>
    <t>11.6  Landscaping</t>
  </si>
  <si>
    <t>11.7  Home Owners Insurance</t>
  </si>
  <si>
    <t>11.10 Depreciation</t>
  </si>
  <si>
    <t>Ethan Rose</t>
  </si>
  <si>
    <t>Shirish Sharma</t>
  </si>
  <si>
    <t>Status</t>
  </si>
  <si>
    <t xml:space="preserve">Fed: 76.44; FICA 62; Medicare: 14.5;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</si>
  <si>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</si>
  <si>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</si>
  <si>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</si>
  <si>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</si>
  <si>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</si>
  <si>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</si>
  <si>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</si>
  <si>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</si>
  <si>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</si>
  <si>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</si>
  <si>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</si>
  <si>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</si>
  <si>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</si>
  <si>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</si>
  <si>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</si>
  <si>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</si>
  <si>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</si>
  <si>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1.1  Digital Ads</t>
  </si>
  <si>
    <t>1.2  Logo Services</t>
  </si>
  <si>
    <t>1.3  Temp Services</t>
  </si>
  <si>
    <t>1.4  Web Hosting</t>
  </si>
  <si>
    <t>14.1  CPA</t>
  </si>
  <si>
    <t>14.2  Microsoft Subscription</t>
  </si>
  <si>
    <t>11.4  Utilities</t>
  </si>
  <si>
    <t>14.3  Apple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</si>
</sst>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b/>
      <sz val="11"/>
      <color rgb="FF70AD47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3.5"/>
      <color rgb="FF222222"/>
      <name val="Open Sans"/>
      <family val="2"/>
    </font>
    <font>
      <sz val="12"/>
      <color rgb="FF222222"/>
      <name val="Open Sans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FCE"/>
      </patternFill>
    </fill>
    <fill>
      <patternFill patternType="solid">
        <fgColor theme="9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</cellStyleXfs>
  <cellXfs count="59">
    <xf numFmtId="0" fontId="0" fillId="0" borderId="0" xfId="0"/>
    <xf numFmtId="44" fontId="0" fillId="0" borderId="0" xfId="1" applyFont="1"/>
    <xf numFmtId="0" fontId="3" fillId="0" borderId="0" xfId="0" applyFont="1"/>
    <xf numFmtId="8" fontId="0" fillId="0" borderId="0" xfId="0" applyNumberFormat="1"/>
    <xf numFmtId="44" fontId="2" fillId="0" borderId="0" xfId="1" applyFont="1"/>
    <xf numFmtId="44" fontId="4" fillId="0" borderId="0" xfId="1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5" fillId="0" borderId="0" xfId="0" applyFont="1"/>
    <xf numFmtId="0" fontId="6" fillId="3" borderId="0" xfId="0" applyFont="1" applyFill="1" applyAlignment="1">
      <alignment horizontal="center"/>
    </xf>
    <xf numFmtId="8" fontId="5" fillId="0" borderId="0" xfId="0" applyNumberFormat="1" applyFont="1"/>
    <xf numFmtId="0" fontId="7" fillId="0" borderId="0" xfId="0" applyFont="1"/>
    <xf numFmtId="8" fontId="7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left" indent="2"/>
    </xf>
    <xf numFmtId="8" fontId="0" fillId="0" borderId="0" xfId="1" applyNumberFormat="1" applyFont="1"/>
    <xf numFmtId="164" fontId="5" fillId="0" borderId="0" xfId="0" applyNumberFormat="1" applyFont="1"/>
    <xf numFmtId="164" fontId="7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0" fontId="5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0" xfId="0" applyFont="1" applyBorder="1"/>
    <xf numFmtId="0" fontId="6" fillId="3" borderId="0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0" fillId="0" borderId="0" xfId="0" applyFont="1" applyBorder="1"/>
    <xf numFmtId="8" fontId="10" fillId="0" borderId="0" xfId="0" applyNumberFormat="1" applyFont="1" applyBorder="1"/>
    <xf numFmtId="0" fontId="0" fillId="0" borderId="0" xfId="0" applyBorder="1"/>
    <xf numFmtId="0" fontId="0" fillId="0" borderId="6" xfId="0" applyBorder="1"/>
    <xf numFmtId="0" fontId="13" fillId="4" borderId="0" xfId="0" applyFont="1" applyFill="1" applyBorder="1"/>
    <xf numFmtId="44" fontId="5" fillId="0" borderId="2" xfId="1" applyFont="1" applyBorder="1"/>
    <xf numFmtId="44" fontId="5" fillId="0" borderId="0" xfId="1" applyFont="1" applyBorder="1"/>
    <xf numFmtId="44" fontId="10" fillId="0" borderId="0" xfId="1" applyFont="1" applyBorder="1"/>
    <xf numFmtId="44" fontId="8" fillId="0" borderId="0" xfId="1" applyFont="1" applyBorder="1"/>
    <xf numFmtId="44" fontId="7" fillId="0" borderId="0" xfId="1" applyFont="1" applyBorder="1"/>
    <xf numFmtId="44" fontId="0" fillId="0" borderId="0" xfId="1" applyFont="1" applyBorder="1"/>
    <xf numFmtId="44" fontId="0" fillId="0" borderId="6" xfId="1" applyFont="1" applyBorder="1"/>
    <xf numFmtId="8" fontId="7" fillId="0" borderId="0" xfId="1" applyNumberFormat="1" applyFont="1" applyBorder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6" fillId="5" borderId="0" xfId="2"/>
    <xf numFmtId="0" fontId="17" fillId="6" borderId="0" xfId="3"/>
    <xf numFmtId="0" fontId="7" fillId="0" borderId="0" xfId="0" applyFont="1" applyBorder="1"/>
    <xf numFmtId="0" fontId="15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indent="4"/>
    </xf>
    <xf numFmtId="0" fontId="13" fillId="4" borderId="0" xfId="0" applyFont="1" applyFill="1" applyBorder="1" applyAlignment="1">
      <alignment horizontal="center"/>
    </xf>
    <xf numFmtId="0" fontId="8" fillId="0" borderId="0" xfId="0" applyFont="1" applyBorder="1"/>
    <xf numFmtId="8" fontId="14" fillId="0" borderId="0" xfId="0" applyNumberFormat="1" applyFont="1" applyBorder="1" applyAlignment="1">
      <alignment vertical="center" wrapText="1"/>
    </xf>
    <xf numFmtId="8" fontId="7" fillId="0" borderId="0" xfId="1" applyNumberFormat="1" applyFont="1" applyBorder="1" applyAlignment="1">
      <alignment horizontal="left"/>
    </xf>
    <xf numFmtId="8" fontId="7" fillId="0" borderId="0" xfId="1" applyNumberFormat="1" applyFont="1" applyBorder="1" applyAlignment="1">
      <alignment horizontal="left" indent="5"/>
    </xf>
    <xf numFmtId="8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 indent="4"/>
    </xf>
    <xf numFmtId="164" fontId="2" fillId="0" borderId="0" xfId="0" applyNumberFormat="1" applyFont="1" applyBorder="1"/>
    <xf numFmtId="0" fontId="2" fillId="0" borderId="6" xfId="0" applyFont="1" applyBorder="1"/>
    <xf numFmtId="0" fontId="2" fillId="0" borderId="0" xfId="0" applyFont="1"/>
  </cellXfs>
  <cellStyles count="4">
    <cellStyle name="Accent6" xfId="3" builtinId="49"/>
    <cellStyle name="Currency" xfId="1" builtinId="4"/>
    <cellStyle name="Good" xfId="2" builtinId="26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left style="medium">
          <color indexed="64"/>
        </left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sh Nath" id="{956B648D-5EC0-4D44-8397-C7334502D5B9}" userId="S::jish.nath@cloudbaud.com::842c2e1c-c519-437b-a769-0b0c4cdb173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279A8F-AB3D-4837-83F5-86E7F65317DB}" name="Table3" displayName="Table3" ref="C3:S78" totalsRowShown="0" headerRowDxfId="12" dataDxfId="13" tableBorderDxfId="17">
  <autoFilter ref="C3:S78" xr:uid="{FF279A8F-AB3D-4837-83F5-86E7F65317DB}"/>
  <tableColumns count="17">
    <tableColumn id="1" xr3:uid="{369E7120-5EE4-4313-A97D-49CE786C3B7E}" name="Column1" dataDxfId="16"/>
    <tableColumn id="2" xr3:uid="{3F69A33F-0F0C-4F0B-81DE-F7688ED6017A}" name="Column2" dataDxfId="15" dataCellStyle="Currency"/>
    <tableColumn id="3" xr3:uid="{A3344CDE-6EF1-412F-BFD3-8FC03922B918}" name="Column3"/>
    <tableColumn id="4" xr3:uid="{52DD86C8-D03D-4CAE-B2B3-F99F9093E63A}" name="Column4" dataDxfId="14" dataCellStyle="Currency">
      <calculatedColumnFormula>SUM(H4:S4)</calculatedColumnFormula>
    </tableColumn>
    <tableColumn id="5" xr3:uid="{9CBFD296-C31A-4673-9EB7-02B25604F27C}" name="Column5"/>
    <tableColumn id="6" xr3:uid="{48F2EBF2-E0EF-4677-A67C-5C673098F485}" name="Column6" dataDxfId="11"/>
    <tableColumn id="7" xr3:uid="{AC1A4B98-041A-4FA5-817E-3FE79B9B8E56}" name="Column7" dataDxfId="10"/>
    <tableColumn id="8" xr3:uid="{E2C67AB8-2932-4DE1-835F-CF6DD07CB3A5}" name="Column8" dataDxfId="9"/>
    <tableColumn id="9" xr3:uid="{E5CDF4FF-FB77-4B91-AAA3-DD29DB24675A}" name="Column9" dataDxfId="8"/>
    <tableColumn id="10" xr3:uid="{674DC537-D204-4519-8234-F28B587E8E7C}" name="Column10" dataDxfId="7"/>
    <tableColumn id="11" xr3:uid="{82329A14-1BEE-42F9-A740-C9EB2CC271AE}" name="Column11" dataDxfId="6"/>
    <tableColumn id="12" xr3:uid="{2BCF767E-AA86-41C8-9AE7-AA3F0B7B02A5}" name="Column12" dataDxfId="0"/>
    <tableColumn id="13" xr3:uid="{985008C2-4AE5-4B46-894B-0098CDAD78E9}" name="Column13" dataDxfId="5"/>
    <tableColumn id="14" xr3:uid="{BAEB3005-4FE3-4520-8221-0605C81CA146}" name="Column14" dataDxfId="4"/>
    <tableColumn id="15" xr3:uid="{C847CC6E-0DA9-4D26-98C1-F8A64B67588D}" name="Column15" dataDxfId="3"/>
    <tableColumn id="16" xr3:uid="{E2511C2A-FFC7-47D7-8FF9-4B8F785D4560}" name="Column16" dataDxfId="2"/>
    <tableColumn id="17" xr3:uid="{2BECBB4A-D28C-4F53-A569-8E2A0E1B4E7A}" name="Column17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1-09-15T15:15:14.48" personId="{956B648D-5EC0-4D44-8397-C7334502D5B9}" id="{920324D9-8055-4D89-8794-FBCDA52AED79}">
    <text>@David  Inventory is what i am working on right now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B5E8-56AE-461E-BBCC-75932865A0FF}">
  <dimension ref="B1:T33"/>
  <sheetViews>
    <sheetView workbookViewId="0">
      <selection activeCell="O34" sqref="O34"/>
    </sheetView>
  </sheetViews>
  <sheetFormatPr defaultRowHeight="15" x14ac:dyDescent="0.25"/>
  <cols>
    <col min="2" max="2" width="24.140625" bestFit="1" customWidth="1"/>
    <col min="4" max="4" width="12.140625" hidden="1" customWidth="1"/>
    <col min="5" max="5" width="11.5703125" bestFit="1" customWidth="1"/>
    <col min="6" max="7" width="11.5703125" hidden="1" customWidth="1"/>
    <col min="8" max="8" width="10.5703125" style="1" bestFit="1" customWidth="1"/>
    <col min="17" max="17" width="10.5703125" bestFit="1" customWidth="1"/>
  </cols>
  <sheetData>
    <row r="1" spans="2:20" x14ac:dyDescent="0.25">
      <c r="I1" s="39" t="s">
        <v>93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</row>
    <row r="2" spans="2:20" x14ac:dyDescent="0.25">
      <c r="D2" s="6">
        <v>2017</v>
      </c>
      <c r="E2" s="6">
        <v>2018</v>
      </c>
      <c r="F2" s="6">
        <v>2019</v>
      </c>
      <c r="G2" s="6">
        <v>2020</v>
      </c>
      <c r="I2" s="24" t="s">
        <v>15</v>
      </c>
      <c r="J2" s="24" t="s">
        <v>16</v>
      </c>
      <c r="K2" s="24" t="s">
        <v>17</v>
      </c>
      <c r="L2" s="24" t="s">
        <v>18</v>
      </c>
      <c r="M2" s="24" t="s">
        <v>19</v>
      </c>
      <c r="N2" s="24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4" t="s">
        <v>25</v>
      </c>
      <c r="T2" s="25" t="s">
        <v>26</v>
      </c>
    </row>
    <row r="3" spans="2:20" x14ac:dyDescent="0.25">
      <c r="B3" t="s">
        <v>0</v>
      </c>
      <c r="D3" s="1">
        <v>63132.46</v>
      </c>
      <c r="E3" s="1">
        <v>70399.570000000007</v>
      </c>
      <c r="F3" s="1">
        <v>84444.89</v>
      </c>
      <c r="G3" s="1">
        <v>69549.66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x14ac:dyDescent="0.25">
      <c r="D4" s="1"/>
      <c r="E4" s="1"/>
      <c r="F4" s="1"/>
      <c r="G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5">
      <c r="B5" t="s">
        <v>1</v>
      </c>
      <c r="D5" s="1"/>
      <c r="E5" s="1"/>
      <c r="F5" s="1"/>
      <c r="G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25">
      <c r="B6" s="7" t="s">
        <v>2</v>
      </c>
      <c r="D6" s="15">
        <f>Robertos!D3-Robertos!D4</f>
        <v>-1600</v>
      </c>
      <c r="E6" s="1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7" t="s">
        <v>3</v>
      </c>
      <c r="D7" s="15">
        <f>CloudBaud!D4-CloudBaud!D6</f>
        <v>378984.75399999996</v>
      </c>
      <c r="E7" s="1"/>
      <c r="F7" s="1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5">
      <c r="D8" s="1"/>
      <c r="E8" s="1"/>
      <c r="F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25">
      <c r="B9" t="s">
        <v>4</v>
      </c>
      <c r="D9" s="4">
        <f>-1*32307.82</f>
        <v>-32307.82</v>
      </c>
      <c r="E9" s="1"/>
      <c r="F9" s="1"/>
      <c r="G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5">
      <c r="D10" s="4"/>
      <c r="E10" s="1"/>
      <c r="F10" s="1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x14ac:dyDescent="0.25">
      <c r="B11" t="s">
        <v>5</v>
      </c>
      <c r="D11" s="5">
        <v>5500</v>
      </c>
      <c r="E11" s="5"/>
      <c r="F11" s="5"/>
      <c r="G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5">
      <c r="B12" t="s">
        <v>6</v>
      </c>
      <c r="D12" s="5">
        <v>5500</v>
      </c>
      <c r="E12" s="5">
        <v>5500</v>
      </c>
      <c r="F12" s="5"/>
      <c r="G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t="s">
        <v>7</v>
      </c>
      <c r="D13" s="5">
        <v>5244.9</v>
      </c>
      <c r="E13" s="1">
        <v>43605.599999999999</v>
      </c>
      <c r="F13" s="1"/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25">
      <c r="B14" t="s">
        <v>8</v>
      </c>
      <c r="D14" s="5">
        <v>0</v>
      </c>
      <c r="E14" s="1">
        <v>4862.99</v>
      </c>
      <c r="F14" s="1"/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9</v>
      </c>
      <c r="D15" s="5">
        <v>4000</v>
      </c>
      <c r="E15" s="1"/>
      <c r="F15" s="1"/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x14ac:dyDescent="0.25">
      <c r="D16" s="1"/>
      <c r="E16" s="1"/>
      <c r="F16" s="1"/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25">
      <c r="B17" s="2" t="s">
        <v>10</v>
      </c>
      <c r="D17" s="1"/>
      <c r="E17" s="1"/>
      <c r="F17" s="1"/>
      <c r="G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x14ac:dyDescent="0.25">
      <c r="B18" t="s">
        <v>91</v>
      </c>
      <c r="D18" s="1">
        <v>4050</v>
      </c>
      <c r="E18" s="1">
        <v>5800</v>
      </c>
      <c r="F18" s="1"/>
      <c r="G18" s="1"/>
      <c r="H18" s="1">
        <f>SUM(I18:T18)</f>
        <v>1100</v>
      </c>
      <c r="I18" s="1"/>
      <c r="J18" s="1"/>
      <c r="K18" s="1"/>
      <c r="L18" s="1"/>
      <c r="M18" s="1"/>
      <c r="N18" s="1"/>
      <c r="O18" s="1"/>
      <c r="P18" s="1"/>
      <c r="Q18" s="1">
        <v>1100</v>
      </c>
      <c r="R18" s="1"/>
      <c r="S18" s="1"/>
      <c r="T18" s="1"/>
    </row>
    <row r="19" spans="2:20" x14ac:dyDescent="0.25">
      <c r="B19" t="s">
        <v>90</v>
      </c>
      <c r="D19" s="3">
        <v>5009.22</v>
      </c>
      <c r="E19" s="1">
        <v>6191.31</v>
      </c>
      <c r="F19" s="1">
        <v>6633.65</v>
      </c>
      <c r="G19" s="1">
        <v>7191.32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5">
      <c r="B20" t="s">
        <v>89</v>
      </c>
      <c r="D20" s="1"/>
      <c r="E20" s="1">
        <v>2761.75</v>
      </c>
      <c r="F20" s="1">
        <v>2724.69</v>
      </c>
      <c r="G20" s="1">
        <v>3186.17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5">
      <c r="D21" s="1"/>
      <c r="E21" s="1"/>
      <c r="F21" s="1"/>
      <c r="G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25">
      <c r="B22" t="s">
        <v>11</v>
      </c>
      <c r="D22" s="1">
        <v>17619.669999999998</v>
      </c>
      <c r="E22" s="1">
        <v>13698.52</v>
      </c>
      <c r="F22" s="1">
        <v>18719.36</v>
      </c>
      <c r="G22" s="1">
        <v>16431.02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25">
      <c r="B23" t="s">
        <v>12</v>
      </c>
      <c r="D23">
        <v>115.94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25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5">
      <c r="B25" t="s">
        <v>13</v>
      </c>
      <c r="D25" s="1">
        <v>500</v>
      </c>
      <c r="E25" s="1"/>
      <c r="F25" s="1"/>
      <c r="G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25">
      <c r="D26" s="1"/>
      <c r="E26" s="1"/>
      <c r="F26" s="1"/>
      <c r="G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x14ac:dyDescent="0.25">
      <c r="D27" s="1"/>
      <c r="E27" s="1"/>
      <c r="F27" s="1"/>
      <c r="G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25">
      <c r="B28" t="s">
        <v>14</v>
      </c>
      <c r="D28" s="1">
        <v>7909.36</v>
      </c>
      <c r="E28" s="1">
        <v>7675.56</v>
      </c>
      <c r="F28" s="1">
        <v>12386.28</v>
      </c>
      <c r="G28" s="1">
        <v>10423.75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25">
      <c r="D29" s="1"/>
      <c r="E29" s="1"/>
      <c r="F29" s="1"/>
      <c r="G29" s="1"/>
    </row>
    <row r="30" spans="2:20" x14ac:dyDescent="0.25">
      <c r="D30" s="1"/>
      <c r="E30" s="1"/>
      <c r="F30" s="1"/>
      <c r="G30" s="1"/>
    </row>
    <row r="31" spans="2:20" x14ac:dyDescent="0.25">
      <c r="D31" s="1"/>
      <c r="E31" s="1"/>
      <c r="F31" s="1"/>
      <c r="G31" s="1"/>
    </row>
    <row r="32" spans="2:20" x14ac:dyDescent="0.25">
      <c r="D32" s="1"/>
      <c r="E32" s="1"/>
      <c r="F32" s="1"/>
      <c r="G32" s="1"/>
    </row>
    <row r="33" spans="4:7" x14ac:dyDescent="0.25">
      <c r="D33" s="1"/>
      <c r="E33" s="1"/>
      <c r="F33" s="1"/>
      <c r="G33" s="1"/>
    </row>
  </sheetData>
  <mergeCells count="1">
    <mergeCell ref="I1:T1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953B-A648-48C4-AA01-152E9D7B00F9}">
  <dimension ref="B1:S78"/>
  <sheetViews>
    <sheetView tabSelected="1" zoomScaleNormal="100" workbookViewId="0">
      <pane xSplit="19" ySplit="6" topLeftCell="U31" activePane="bottomRight" state="frozen"/>
      <selection pane="topRight" activeCell="T1" sqref="T1"/>
      <selection pane="bottomLeft" activeCell="A7" sqref="A7"/>
      <selection pane="bottomRight" activeCell="J47" sqref="J47"/>
    </sheetView>
  </sheetViews>
  <sheetFormatPr defaultRowHeight="15" x14ac:dyDescent="0.25"/>
  <cols>
    <col min="2" max="2" width="13.5703125" customWidth="1"/>
    <col min="3" max="3" width="44.5703125" bestFit="1" customWidth="1"/>
    <col min="4" max="4" width="12.5703125" style="1" bestFit="1" customWidth="1"/>
    <col min="5" max="5" width="11" customWidth="1"/>
    <col min="6" max="6" width="16.42578125" style="1" bestFit="1" customWidth="1"/>
    <col min="7" max="8" width="11" customWidth="1"/>
    <col min="9" max="11" width="11.42578125" bestFit="1" customWidth="1"/>
    <col min="12" max="19" width="12" customWidth="1"/>
  </cols>
  <sheetData>
    <row r="1" spans="2:19" x14ac:dyDescent="0.25">
      <c r="C1" s="20"/>
      <c r="D1" s="31"/>
      <c r="E1" s="21"/>
      <c r="F1" s="31"/>
      <c r="H1" s="39" t="s">
        <v>93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</row>
    <row r="2" spans="2:19" x14ac:dyDescent="0.25">
      <c r="B2" t="s">
        <v>124</v>
      </c>
      <c r="C2" s="22"/>
      <c r="D2" s="32"/>
      <c r="E2" s="23"/>
      <c r="F2" s="32"/>
      <c r="H2" s="24" t="s">
        <v>15</v>
      </c>
      <c r="I2" s="24" t="s">
        <v>16</v>
      </c>
      <c r="J2" s="24" t="s">
        <v>17</v>
      </c>
      <c r="K2" s="24" t="s">
        <v>18</v>
      </c>
      <c r="L2" s="24" t="s">
        <v>19</v>
      </c>
      <c r="M2" s="24" t="s">
        <v>20</v>
      </c>
      <c r="N2" s="24" t="s">
        <v>21</v>
      </c>
      <c r="O2" s="24" t="s">
        <v>22</v>
      </c>
      <c r="P2" s="24" t="s">
        <v>23</v>
      </c>
      <c r="Q2" s="24" t="s">
        <v>24</v>
      </c>
      <c r="R2" s="24" t="s">
        <v>25</v>
      </c>
      <c r="S2" s="25" t="s">
        <v>26</v>
      </c>
    </row>
    <row r="3" spans="2:19" hidden="1" x14ac:dyDescent="0.25">
      <c r="C3" s="26" t="s">
        <v>126</v>
      </c>
      <c r="D3" s="33" t="s">
        <v>127</v>
      </c>
      <c r="E3" s="28" t="s">
        <v>128</v>
      </c>
      <c r="F3" s="1" t="s">
        <v>129</v>
      </c>
      <c r="G3" t="s">
        <v>130</v>
      </c>
      <c r="H3" s="26" t="s">
        <v>131</v>
      </c>
      <c r="I3" s="27" t="s">
        <v>132</v>
      </c>
      <c r="J3" s="27" t="s">
        <v>133</v>
      </c>
      <c r="K3" s="27" t="s">
        <v>134</v>
      </c>
      <c r="L3" s="27" t="s">
        <v>135</v>
      </c>
      <c r="M3" s="27" t="s">
        <v>136</v>
      </c>
      <c r="N3" s="27" t="s">
        <v>137</v>
      </c>
      <c r="O3" s="27" t="s">
        <v>138</v>
      </c>
      <c r="P3" s="27" t="s">
        <v>139</v>
      </c>
      <c r="Q3" s="27" t="s">
        <v>140</v>
      </c>
      <c r="R3" s="27" t="s">
        <v>141</v>
      </c>
      <c r="S3" s="27" t="s">
        <v>142</v>
      </c>
    </row>
    <row r="4" spans="2:19" x14ac:dyDescent="0.25">
      <c r="B4" s="42"/>
      <c r="C4" s="26" t="s">
        <v>94</v>
      </c>
      <c r="D4" s="33">
        <v>485019.41</v>
      </c>
      <c r="E4" s="28"/>
      <c r="H4" s="54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</row>
    <row r="5" spans="2:19" x14ac:dyDescent="0.25">
      <c r="C5" s="23"/>
      <c r="D5" s="34"/>
      <c r="E5" s="23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spans="2:19" x14ac:dyDescent="0.25">
      <c r="C6" s="44" t="s">
        <v>29</v>
      </c>
      <c r="D6" s="38">
        <f>SUM(D8:D77)</f>
        <v>106034.656</v>
      </c>
      <c r="E6" s="28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</row>
    <row r="7" spans="2:19" x14ac:dyDescent="0.25">
      <c r="C7" s="44"/>
      <c r="D7" s="35"/>
      <c r="E7" s="28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</row>
    <row r="8" spans="2:19" ht="18" x14ac:dyDescent="0.25">
      <c r="C8" s="45" t="s">
        <v>96</v>
      </c>
      <c r="D8" s="38">
        <f>SUM(H8:S8)</f>
        <v>0</v>
      </c>
      <c r="E8" s="28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</row>
    <row r="9" spans="2:19" x14ac:dyDescent="0.25">
      <c r="C9" s="47" t="s">
        <v>143</v>
      </c>
      <c r="D9" s="38"/>
      <c r="E9" s="28"/>
      <c r="F9" s="1">
        <f>SUM(H9:S9)</f>
        <v>0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</row>
    <row r="10" spans="2:19" x14ac:dyDescent="0.25">
      <c r="C10" s="47" t="s">
        <v>144</v>
      </c>
      <c r="D10" s="38"/>
      <c r="E10" s="28"/>
      <c r="F10" s="1">
        <f>SUM(H10:S10)</f>
        <v>0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</row>
    <row r="11" spans="2:19" x14ac:dyDescent="0.25">
      <c r="C11" s="47" t="s">
        <v>145</v>
      </c>
      <c r="D11" s="38"/>
      <c r="E11" s="28"/>
      <c r="F11" s="1">
        <f>SUM(H11:S11)</f>
        <v>0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</row>
    <row r="12" spans="2:19" x14ac:dyDescent="0.25">
      <c r="C12" s="47" t="s">
        <v>146</v>
      </c>
      <c r="D12" s="38"/>
      <c r="E12" s="28"/>
      <c r="F12" s="1">
        <f>SUM(H12:S12)</f>
        <v>0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</row>
    <row r="13" spans="2:19" ht="18" x14ac:dyDescent="0.25">
      <c r="C13" s="45"/>
      <c r="D13" s="38"/>
      <c r="E13" s="28"/>
      <c r="F13" s="1">
        <f>SUM(H13:S13)</f>
        <v>0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</row>
    <row r="14" spans="2:19" ht="19.5" x14ac:dyDescent="0.25">
      <c r="C14" s="46" t="s">
        <v>97</v>
      </c>
      <c r="D14" s="38">
        <f>SUM(H14:S14)</f>
        <v>0</v>
      </c>
      <c r="E14" s="28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2:19" ht="19.5" x14ac:dyDescent="0.25">
      <c r="C15" s="46" t="s">
        <v>98</v>
      </c>
      <c r="D15" s="38">
        <f>SUM(H15:S15)</f>
        <v>0</v>
      </c>
      <c r="E15" s="28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2:19" ht="19.5" x14ac:dyDescent="0.25">
      <c r="C16" s="46" t="s">
        <v>99</v>
      </c>
      <c r="D16" s="38">
        <f>SUM(H16:S16)</f>
        <v>0</v>
      </c>
      <c r="E16" s="28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3:19" ht="19.5" x14ac:dyDescent="0.25">
      <c r="C17" s="46" t="s">
        <v>100</v>
      </c>
      <c r="D17" s="38">
        <f>SUM(H17:S17)</f>
        <v>0</v>
      </c>
      <c r="E17" s="28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</row>
    <row r="18" spans="3:19" ht="19.5" x14ac:dyDescent="0.25">
      <c r="C18" s="46" t="s">
        <v>101</v>
      </c>
      <c r="D18" s="38">
        <f>SUM(H18:S18)</f>
        <v>0</v>
      </c>
      <c r="E18" s="28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</row>
    <row r="19" spans="3:19" ht="19.5" x14ac:dyDescent="0.25">
      <c r="C19" s="46" t="s">
        <v>102</v>
      </c>
      <c r="D19" s="38">
        <f>SUM(H19:S19)</f>
        <v>0</v>
      </c>
      <c r="E19" s="28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</row>
    <row r="20" spans="3:19" x14ac:dyDescent="0.25">
      <c r="C20" s="47" t="s">
        <v>123</v>
      </c>
      <c r="D20" s="38">
        <f>SUM(H20:S20)</f>
        <v>89115.349999999991</v>
      </c>
      <c r="E20" s="28"/>
      <c r="H20" s="53">
        <f>3960+3240</f>
        <v>7200</v>
      </c>
      <c r="I20" s="53">
        <f>4320+847.06</f>
        <v>5167.0599999999995</v>
      </c>
      <c r="J20" s="53">
        <f>3240+3960</f>
        <v>7200</v>
      </c>
      <c r="K20" s="53">
        <f>3960+3960</f>
        <v>7920</v>
      </c>
      <c r="L20" s="53">
        <f>3600+3960</f>
        <v>7560</v>
      </c>
      <c r="M20" s="53">
        <f>3960</f>
        <v>3960</v>
      </c>
      <c r="N20" s="53"/>
      <c r="O20" s="53">
        <f>3960+3600+608.79</f>
        <v>8168.79</v>
      </c>
      <c r="P20" s="53">
        <f>827.9+3240+4320</f>
        <v>8387.9</v>
      </c>
      <c r="Q20" s="53">
        <f>827.9+3960+4320+827.9+3240+827.9</f>
        <v>14003.699999999999</v>
      </c>
      <c r="R20" s="53">
        <f>3600+3960+827.9+3960</f>
        <v>12347.9</v>
      </c>
      <c r="S20" s="53">
        <v>7200</v>
      </c>
    </row>
    <row r="21" spans="3:19" ht="19.5" x14ac:dyDescent="0.25">
      <c r="C21" s="46" t="s">
        <v>103</v>
      </c>
      <c r="D21" s="38">
        <f>SUM(H21:S21)</f>
        <v>0</v>
      </c>
      <c r="E21" s="28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</row>
    <row r="22" spans="3:19" ht="19.5" x14ac:dyDescent="0.25">
      <c r="C22" s="46" t="s">
        <v>104</v>
      </c>
      <c r="D22" s="38">
        <f>SUM(H22:S22)</f>
        <v>0</v>
      </c>
      <c r="E22" s="28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</row>
    <row r="23" spans="3:19" ht="19.5" x14ac:dyDescent="0.25">
      <c r="C23" s="46" t="s">
        <v>105</v>
      </c>
      <c r="D23" s="38">
        <f>SUM(H23:S23)</f>
        <v>0</v>
      </c>
      <c r="E23" s="28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</row>
    <row r="24" spans="3:19" ht="19.5" x14ac:dyDescent="0.25">
      <c r="C24" s="46" t="s">
        <v>106</v>
      </c>
      <c r="D24" s="50">
        <f>E24*F24</f>
        <v>729.60600000000011</v>
      </c>
      <c r="E24" s="30">
        <v>0.17</v>
      </c>
      <c r="F24" s="51">
        <f>SUM(F25:F33)</f>
        <v>4291.8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</row>
    <row r="25" spans="3:19" x14ac:dyDescent="0.25">
      <c r="C25" s="47" t="s">
        <v>115</v>
      </c>
      <c r="D25" s="35"/>
      <c r="E25" s="28"/>
      <c r="F25" s="52">
        <f>SUM(H25:S25)</f>
        <v>0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</row>
    <row r="26" spans="3:19" x14ac:dyDescent="0.25">
      <c r="C26" s="47" t="s">
        <v>116</v>
      </c>
      <c r="D26" s="35"/>
      <c r="E26" s="28"/>
      <c r="F26" s="52">
        <f>SUM(H26:S26)</f>
        <v>1951.5100000000002</v>
      </c>
      <c r="H26" s="53"/>
      <c r="I26" s="53"/>
      <c r="J26" s="53"/>
      <c r="K26" s="53"/>
      <c r="L26" s="53"/>
      <c r="M26" s="53">
        <f>34.44+858.32</f>
        <v>892.76</v>
      </c>
      <c r="N26" s="53">
        <f>12.64+130.19</f>
        <v>142.82999999999998</v>
      </c>
      <c r="O26" s="53">
        <f>8.7+111.68</f>
        <v>120.38000000000001</v>
      </c>
      <c r="P26" s="53">
        <v>120.89</v>
      </c>
      <c r="Q26" s="53">
        <f>18.99+119.54</f>
        <v>138.53</v>
      </c>
      <c r="R26" s="53">
        <f>61.65+164.82</f>
        <v>226.47</v>
      </c>
      <c r="S26" s="53">
        <f>95.6+214.05</f>
        <v>309.64999999999998</v>
      </c>
    </row>
    <row r="27" spans="3:19" x14ac:dyDescent="0.25">
      <c r="C27" s="47" t="s">
        <v>117</v>
      </c>
      <c r="D27" s="35"/>
      <c r="E27" s="28"/>
      <c r="F27" s="52">
        <f>SUM(H27:S27)</f>
        <v>0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</row>
    <row r="28" spans="3:19" x14ac:dyDescent="0.25">
      <c r="C28" s="47" t="s">
        <v>149</v>
      </c>
      <c r="D28" s="35"/>
      <c r="E28" s="28"/>
      <c r="F28" s="52">
        <f>SUM(H28:S28)</f>
        <v>1913.29</v>
      </c>
      <c r="H28" s="53"/>
      <c r="I28" s="53"/>
      <c r="J28" s="53"/>
      <c r="K28" s="53">
        <v>350.86</v>
      </c>
      <c r="L28" s="53"/>
      <c r="M28" s="53">
        <v>356.05</v>
      </c>
      <c r="N28" s="53"/>
      <c r="O28" s="53">
        <v>381.68</v>
      </c>
      <c r="P28" s="53"/>
      <c r="Q28" s="53">
        <v>429.39</v>
      </c>
      <c r="R28" s="53"/>
      <c r="S28" s="53">
        <v>395.31</v>
      </c>
    </row>
    <row r="29" spans="3:19" x14ac:dyDescent="0.25">
      <c r="C29" s="47" t="s">
        <v>118</v>
      </c>
      <c r="D29" s="35"/>
      <c r="E29" s="28"/>
      <c r="F29" s="52">
        <f>SUM(H29:S29)</f>
        <v>0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</row>
    <row r="30" spans="3:19" x14ac:dyDescent="0.25">
      <c r="C30" s="47" t="s">
        <v>119</v>
      </c>
      <c r="D30" s="35"/>
      <c r="E30" s="28"/>
      <c r="F30" s="52">
        <f>SUM(H30:S30)</f>
        <v>427</v>
      </c>
      <c r="H30" s="53"/>
      <c r="I30" s="53"/>
      <c r="J30" s="53"/>
      <c r="K30" s="53"/>
      <c r="L30" s="53">
        <v>427</v>
      </c>
      <c r="M30" s="53"/>
      <c r="N30" s="53"/>
      <c r="O30" s="53"/>
      <c r="P30" s="53"/>
      <c r="Q30" s="53"/>
      <c r="R30" s="53"/>
      <c r="S30" s="53"/>
    </row>
    <row r="31" spans="3:19" x14ac:dyDescent="0.25">
      <c r="C31" s="47" t="s">
        <v>120</v>
      </c>
      <c r="D31" s="35"/>
      <c r="E31" s="28"/>
      <c r="F31" s="52">
        <f>SUM(H31:S31)</f>
        <v>0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</row>
    <row r="32" spans="3:19" x14ac:dyDescent="0.25">
      <c r="C32" s="47" t="s">
        <v>121</v>
      </c>
      <c r="D32" s="35"/>
      <c r="E32" s="28"/>
      <c r="F32" s="52">
        <f>SUM(H32:S32)</f>
        <v>0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</row>
    <row r="33" spans="2:19" ht="19.5" x14ac:dyDescent="0.25">
      <c r="C33" s="46"/>
      <c r="D33" s="35"/>
      <c r="E33" s="28"/>
      <c r="F33" s="52">
        <f>SUM(H33:S33)</f>
        <v>0</v>
      </c>
      <c r="H33" s="53"/>
      <c r="I33" s="55"/>
      <c r="J33" s="53"/>
      <c r="K33" s="53"/>
      <c r="L33" s="53"/>
      <c r="M33" s="53"/>
      <c r="N33" s="53"/>
      <c r="O33" s="53"/>
      <c r="P33" s="53"/>
      <c r="Q33" s="53"/>
      <c r="R33" s="53"/>
      <c r="S33" s="53"/>
    </row>
    <row r="34" spans="2:19" ht="19.5" x14ac:dyDescent="0.25">
      <c r="C34" s="46" t="s">
        <v>107</v>
      </c>
      <c r="D34" s="35"/>
      <c r="E34" s="28"/>
      <c r="F34" s="38">
        <f>SUM(H34:S34)</f>
        <v>0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</row>
    <row r="35" spans="2:19" ht="19.5" x14ac:dyDescent="0.25">
      <c r="C35" s="46" t="s">
        <v>108</v>
      </c>
      <c r="D35" s="35"/>
      <c r="E35" s="28"/>
      <c r="F35" s="38">
        <f>SUM(H35:S35)</f>
        <v>0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</row>
    <row r="36" spans="2:19" ht="19.5" x14ac:dyDescent="0.25">
      <c r="C36" s="46" t="s">
        <v>109</v>
      </c>
      <c r="D36" s="35"/>
      <c r="E36" s="28"/>
      <c r="F36" s="38">
        <f>SUM(H36:S36)</f>
        <v>0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</row>
    <row r="37" spans="2:19" x14ac:dyDescent="0.25">
      <c r="C37" s="47" t="s">
        <v>147</v>
      </c>
      <c r="D37" s="35"/>
      <c r="E37" s="28"/>
      <c r="F37" s="38">
        <f>SUM(H37:S37)</f>
        <v>600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>
        <v>600</v>
      </c>
      <c r="S37" s="53"/>
    </row>
    <row r="38" spans="2:19" x14ac:dyDescent="0.25">
      <c r="C38" s="47" t="s">
        <v>148</v>
      </c>
      <c r="D38" s="35"/>
      <c r="E38" s="28"/>
      <c r="F38" s="38">
        <f>SUM(H38:S38)</f>
        <v>0</v>
      </c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</row>
    <row r="39" spans="2:19" x14ac:dyDescent="0.25">
      <c r="C39" s="47" t="s">
        <v>150</v>
      </c>
      <c r="D39" s="35"/>
      <c r="E39" s="28"/>
      <c r="F39" s="38">
        <f>SUM(H39:S39)</f>
        <v>43.99</v>
      </c>
      <c r="H39" s="53"/>
      <c r="I39" s="53"/>
      <c r="J39" s="53">
        <v>43.99</v>
      </c>
      <c r="K39" s="53"/>
      <c r="L39" s="53"/>
      <c r="M39" s="53"/>
      <c r="N39" s="53"/>
      <c r="O39" s="53"/>
      <c r="P39" s="53"/>
      <c r="Q39" s="53"/>
      <c r="R39" s="53"/>
      <c r="S39" s="53"/>
    </row>
    <row r="40" spans="2:19" ht="19.5" x14ac:dyDescent="0.25">
      <c r="C40" s="46" t="s">
        <v>110</v>
      </c>
      <c r="D40" s="35"/>
      <c r="E40" s="28"/>
      <c r="F40" s="38">
        <f>SUM(H40:S40)</f>
        <v>0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</row>
    <row r="41" spans="2:19" ht="19.5" x14ac:dyDescent="0.25">
      <c r="B41" s="43"/>
      <c r="C41" s="46" t="s">
        <v>111</v>
      </c>
      <c r="D41" s="38">
        <f>F41</f>
        <v>847.07</v>
      </c>
      <c r="E41" s="28"/>
      <c r="F41" s="38">
        <f>SUM(F42:F44)</f>
        <v>847.07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</row>
    <row r="42" spans="2:19" x14ac:dyDescent="0.25">
      <c r="C42" s="47" t="s">
        <v>122</v>
      </c>
      <c r="D42" s="35"/>
      <c r="E42" s="28"/>
      <c r="F42" s="38">
        <f>SUM(H42:S42)</f>
        <v>847.07</v>
      </c>
      <c r="H42" s="53"/>
      <c r="I42" s="53">
        <v>847.07</v>
      </c>
      <c r="J42" s="53"/>
      <c r="K42" s="53"/>
      <c r="L42" s="53"/>
      <c r="M42" s="53"/>
      <c r="N42" s="53"/>
      <c r="O42" s="53"/>
      <c r="P42" s="53"/>
      <c r="Q42" s="53"/>
      <c r="R42" s="53"/>
      <c r="S42" s="53"/>
    </row>
    <row r="43" spans="2:19" x14ac:dyDescent="0.25">
      <c r="C43" s="47" t="s">
        <v>125</v>
      </c>
      <c r="D43" s="35"/>
      <c r="E43" s="28"/>
      <c r="F43" s="35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</row>
    <row r="44" spans="2:19" x14ac:dyDescent="0.25">
      <c r="C44" s="47"/>
      <c r="D44" s="35"/>
      <c r="E44" s="28"/>
      <c r="F44" s="35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</row>
    <row r="45" spans="2:19" ht="19.5" x14ac:dyDescent="0.25">
      <c r="C45" s="46" t="s">
        <v>112</v>
      </c>
      <c r="D45" s="35"/>
      <c r="E45" s="28"/>
      <c r="F45" s="38">
        <f t="shared" ref="D45:F78" si="0">SUM(H45:S45)</f>
        <v>0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</row>
    <row r="46" spans="2:19" ht="19.5" x14ac:dyDescent="0.25">
      <c r="C46" s="46" t="s">
        <v>113</v>
      </c>
      <c r="D46" s="35">
        <f>F46*E46</f>
        <v>682.50000000000011</v>
      </c>
      <c r="E46" s="28">
        <v>0.5</v>
      </c>
      <c r="F46" s="38">
        <f t="shared" si="0"/>
        <v>1365.0000000000002</v>
      </c>
      <c r="H46" s="53"/>
      <c r="I46" s="58"/>
      <c r="J46" s="53">
        <f>112.2+112.2+9.95</f>
        <v>234.35</v>
      </c>
      <c r="K46" s="53">
        <v>232.58</v>
      </c>
      <c r="L46" s="53">
        <f>126.68+9.95</f>
        <v>136.63</v>
      </c>
      <c r="M46" s="53">
        <v>147.43</v>
      </c>
      <c r="N46" s="53">
        <v>172.08</v>
      </c>
      <c r="O46" s="53">
        <v>117.72</v>
      </c>
      <c r="P46" s="53">
        <v>112.72</v>
      </c>
      <c r="Q46" s="53">
        <v>112.17</v>
      </c>
      <c r="R46" s="53">
        <v>77.430000000000007</v>
      </c>
      <c r="S46" s="53">
        <f>21.89</f>
        <v>21.89</v>
      </c>
    </row>
    <row r="47" spans="2:19" ht="19.5" x14ac:dyDescent="0.25">
      <c r="C47" s="46" t="s">
        <v>114</v>
      </c>
      <c r="D47" s="35"/>
      <c r="E47" s="28"/>
      <c r="F47" s="38">
        <f t="shared" si="0"/>
        <v>0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</row>
    <row r="48" spans="2:19" x14ac:dyDescent="0.25">
      <c r="C48" s="28"/>
      <c r="D48" s="32"/>
      <c r="E48" s="28"/>
      <c r="F48" s="38">
        <f t="shared" si="0"/>
        <v>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</row>
    <row r="49" spans="3:19" x14ac:dyDescent="0.25">
      <c r="C49" s="23" t="s">
        <v>70</v>
      </c>
      <c r="D49" s="32"/>
      <c r="E49" s="28"/>
      <c r="F49" s="38">
        <f t="shared" si="0"/>
        <v>0</v>
      </c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</row>
    <row r="50" spans="3:19" x14ac:dyDescent="0.25">
      <c r="C50" s="23" t="s">
        <v>71</v>
      </c>
      <c r="D50" s="32"/>
      <c r="E50" s="28"/>
      <c r="F50" s="38">
        <f t="shared" si="0"/>
        <v>0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</row>
    <row r="51" spans="3:19" x14ac:dyDescent="0.25">
      <c r="C51" s="23" t="s">
        <v>35</v>
      </c>
      <c r="D51" s="32"/>
      <c r="E51" s="28"/>
      <c r="F51" s="38">
        <f t="shared" si="0"/>
        <v>209.96999999999997</v>
      </c>
      <c r="H51" s="54"/>
      <c r="I51" s="58"/>
      <c r="J51" s="56">
        <v>69.989999999999995</v>
      </c>
      <c r="K51" s="56"/>
      <c r="L51" s="56">
        <v>69.989999999999995</v>
      </c>
      <c r="M51" s="56">
        <v>69.989999999999995</v>
      </c>
      <c r="N51" s="56"/>
      <c r="O51" s="56"/>
      <c r="P51" s="56"/>
      <c r="Q51" s="56"/>
      <c r="R51" s="56"/>
      <c r="S51" s="56"/>
    </row>
    <row r="52" spans="3:19" x14ac:dyDescent="0.25">
      <c r="C52" s="23"/>
      <c r="D52" s="32"/>
      <c r="E52" s="28"/>
      <c r="F52" s="38">
        <f t="shared" si="0"/>
        <v>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</row>
    <row r="53" spans="3:19" x14ac:dyDescent="0.25">
      <c r="C53" s="23" t="s">
        <v>72</v>
      </c>
      <c r="D53" s="32"/>
      <c r="E53" s="28"/>
      <c r="F53" s="38">
        <f t="shared" si="0"/>
        <v>0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3"/>
    </row>
    <row r="54" spans="3:19" x14ac:dyDescent="0.25">
      <c r="C54" s="23" t="s">
        <v>73</v>
      </c>
      <c r="D54" s="32"/>
      <c r="E54" s="28"/>
      <c r="F54" s="38">
        <f t="shared" si="0"/>
        <v>0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</row>
    <row r="55" spans="3:19" x14ac:dyDescent="0.25">
      <c r="C55" s="23" t="s">
        <v>38</v>
      </c>
      <c r="D55" s="38">
        <f t="shared" si="0"/>
        <v>14660.130000000003</v>
      </c>
      <c r="E55" s="28"/>
      <c r="F55" s="38">
        <f t="shared" si="0"/>
        <v>9480.9500000000007</v>
      </c>
      <c r="H55" s="54"/>
      <c r="I55" s="54"/>
      <c r="J55" s="54">
        <v>511.1</v>
      </c>
      <c r="K55" s="54"/>
      <c r="L55" s="54"/>
      <c r="M55" s="54">
        <f>854.49+892.2</f>
        <v>1746.69</v>
      </c>
      <c r="N55" s="54">
        <f>538.48+550.38+551.04+604.82</f>
        <v>2244.7200000000003</v>
      </c>
      <c r="O55" s="54">
        <f>125.97+550.7</f>
        <v>676.67000000000007</v>
      </c>
      <c r="P55" s="54"/>
      <c r="Q55" s="54"/>
      <c r="R55" s="54">
        <f>715.48+838.47+1264.37+40.36+769.24</f>
        <v>3627.92</v>
      </c>
      <c r="S55" s="54">
        <f>673.85</f>
        <v>673.85</v>
      </c>
    </row>
    <row r="56" spans="3:19" x14ac:dyDescent="0.25">
      <c r="C56" s="23" t="s">
        <v>40</v>
      </c>
      <c r="D56" s="32"/>
      <c r="E56" s="28"/>
      <c r="F56" s="38">
        <f t="shared" si="0"/>
        <v>0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</row>
    <row r="57" spans="3:19" x14ac:dyDescent="0.25">
      <c r="C57" s="23" t="s">
        <v>74</v>
      </c>
      <c r="D57" s="32"/>
      <c r="E57" s="28"/>
      <c r="F57" s="38">
        <f t="shared" si="0"/>
        <v>0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</row>
    <row r="58" spans="3:19" x14ac:dyDescent="0.25">
      <c r="C58" s="23" t="s">
        <v>75</v>
      </c>
      <c r="D58" s="32"/>
      <c r="E58" s="28"/>
      <c r="F58" s="38">
        <f t="shared" si="0"/>
        <v>0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</row>
    <row r="59" spans="3:19" x14ac:dyDescent="0.25">
      <c r="C59" s="23" t="s">
        <v>50</v>
      </c>
      <c r="D59" s="32"/>
      <c r="E59" s="28"/>
      <c r="F59" s="38">
        <f t="shared" si="0"/>
        <v>56.25</v>
      </c>
      <c r="H59" s="56"/>
      <c r="I59" s="56"/>
      <c r="J59" s="56"/>
      <c r="K59" s="56"/>
      <c r="L59" s="56">
        <f>15*3+2.5</f>
        <v>47.5</v>
      </c>
      <c r="M59" s="56"/>
      <c r="N59" s="56"/>
      <c r="O59" s="56"/>
      <c r="P59" s="56"/>
      <c r="Q59" s="56">
        <v>3.75</v>
      </c>
      <c r="R59" s="56"/>
      <c r="S59" s="56">
        <v>5</v>
      </c>
    </row>
    <row r="60" spans="3:19" x14ac:dyDescent="0.25">
      <c r="C60" s="23"/>
      <c r="D60" s="32"/>
      <c r="E60" s="28"/>
      <c r="F60" s="38">
        <f t="shared" si="0"/>
        <v>0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</row>
    <row r="61" spans="3:19" x14ac:dyDescent="0.25">
      <c r="C61" s="23" t="s">
        <v>76</v>
      </c>
      <c r="D61" s="32"/>
      <c r="E61" s="28"/>
      <c r="F61" s="38">
        <f t="shared" si="0"/>
        <v>0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</row>
    <row r="62" spans="3:19" x14ac:dyDescent="0.25">
      <c r="C62" s="23" t="s">
        <v>61</v>
      </c>
      <c r="D62" s="32"/>
      <c r="E62" s="28"/>
      <c r="F62" s="38">
        <f t="shared" si="0"/>
        <v>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</row>
    <row r="63" spans="3:19" x14ac:dyDescent="0.25">
      <c r="C63" s="23" t="s">
        <v>77</v>
      </c>
      <c r="D63" s="32"/>
      <c r="E63" s="28"/>
      <c r="F63" s="38">
        <f t="shared" si="0"/>
        <v>0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</row>
    <row r="64" spans="3:19" x14ac:dyDescent="0.25">
      <c r="C64" s="23" t="s">
        <v>78</v>
      </c>
      <c r="D64" s="32"/>
      <c r="E64" s="28"/>
      <c r="F64" s="38">
        <f t="shared" si="0"/>
        <v>0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</row>
    <row r="65" spans="3:19" x14ac:dyDescent="0.25">
      <c r="C65" s="23"/>
      <c r="D65" s="32"/>
      <c r="E65" s="23"/>
      <c r="F65" s="38">
        <f t="shared" si="0"/>
        <v>0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</row>
    <row r="66" spans="3:19" x14ac:dyDescent="0.25">
      <c r="C66" s="23" t="s">
        <v>79</v>
      </c>
      <c r="D66" s="32"/>
      <c r="E66" s="28"/>
      <c r="F66" s="38">
        <f t="shared" si="0"/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</row>
    <row r="67" spans="3:19" x14ac:dyDescent="0.25">
      <c r="C67" s="48" t="s">
        <v>95</v>
      </c>
      <c r="D67" s="32"/>
      <c r="E67" s="30">
        <v>0.54500000000000004</v>
      </c>
      <c r="F67" s="38">
        <f t="shared" si="0"/>
        <v>0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</row>
    <row r="68" spans="3:19" x14ac:dyDescent="0.25">
      <c r="C68" s="23"/>
      <c r="D68" s="32"/>
      <c r="E68" s="23"/>
      <c r="F68" s="38">
        <f t="shared" si="0"/>
        <v>0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</row>
    <row r="69" spans="3:19" x14ac:dyDescent="0.25">
      <c r="C69" s="49" t="s">
        <v>80</v>
      </c>
      <c r="D69" s="32"/>
      <c r="E69" s="28"/>
      <c r="F69" s="38">
        <f t="shared" si="0"/>
        <v>0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</row>
    <row r="70" spans="3:19" x14ac:dyDescent="0.25">
      <c r="C70" s="23" t="s">
        <v>81</v>
      </c>
      <c r="D70" s="32"/>
      <c r="E70" s="28"/>
      <c r="F70" s="38">
        <f t="shared" si="0"/>
        <v>0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3:19" x14ac:dyDescent="0.25">
      <c r="C71" s="23" t="s">
        <v>82</v>
      </c>
      <c r="D71" s="32"/>
      <c r="E71" s="28"/>
      <c r="F71" s="38">
        <f t="shared" si="0"/>
        <v>0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</row>
    <row r="72" spans="3:19" x14ac:dyDescent="0.25">
      <c r="C72" s="23" t="s">
        <v>83</v>
      </c>
      <c r="D72" s="32"/>
      <c r="E72" s="28"/>
      <c r="F72" s="38">
        <f t="shared" si="0"/>
        <v>0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</row>
    <row r="73" spans="3:19" x14ac:dyDescent="0.25">
      <c r="C73" s="23" t="s">
        <v>84</v>
      </c>
      <c r="D73" s="32"/>
      <c r="E73" s="28"/>
      <c r="F73" s="38">
        <f t="shared" si="0"/>
        <v>0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</row>
    <row r="74" spans="3:19" x14ac:dyDescent="0.25">
      <c r="C74" s="23" t="s">
        <v>85</v>
      </c>
      <c r="D74" s="32"/>
      <c r="E74" s="28"/>
      <c r="F74" s="38">
        <f t="shared" si="0"/>
        <v>0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</row>
    <row r="75" spans="3:19" x14ac:dyDescent="0.25">
      <c r="C75" s="23" t="s">
        <v>86</v>
      </c>
      <c r="D75" s="32"/>
      <c r="E75" s="28"/>
      <c r="F75" s="38">
        <f t="shared" si="0"/>
        <v>0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</row>
    <row r="76" spans="3:19" x14ac:dyDescent="0.25">
      <c r="C76" s="23" t="s">
        <v>87</v>
      </c>
      <c r="D76" s="32"/>
      <c r="E76" s="28"/>
      <c r="F76" s="38">
        <f t="shared" si="0"/>
        <v>0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</row>
    <row r="77" spans="3:19" x14ac:dyDescent="0.25">
      <c r="C77" s="28" t="s">
        <v>88</v>
      </c>
      <c r="D77" s="36"/>
      <c r="E77" s="28"/>
      <c r="F77" s="38">
        <f t="shared" si="0"/>
        <v>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</row>
    <row r="78" spans="3:19" ht="15.75" thickBot="1" x14ac:dyDescent="0.3">
      <c r="C78" s="29"/>
      <c r="D78" s="37"/>
      <c r="E78" s="29"/>
      <c r="F78" s="38">
        <f t="shared" si="0"/>
        <v>0</v>
      </c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</row>
  </sheetData>
  <mergeCells count="1">
    <mergeCell ref="H1:S1"/>
  </mergeCells>
  <phoneticPr fontId="12" type="noConversion"/>
  <pageMargins left="0.7" right="0.7" top="0.75" bottom="0.75" header="0.3" footer="0.3"/>
  <pageSetup fitToWidth="0" fitToHeight="0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1AC0-B84A-4732-A284-A9EE2CEC4CAA}">
  <dimension ref="A1:P53"/>
  <sheetViews>
    <sheetView workbookViewId="0">
      <pane xSplit="16" ySplit="2" topLeftCell="Q3" activePane="bottomRight" state="frozen"/>
      <selection pane="topRight"/>
      <selection pane="bottomLeft"/>
      <selection pane="bottomRight" activeCell="D5" sqref="D5"/>
    </sheetView>
  </sheetViews>
  <sheetFormatPr defaultRowHeight="15" x14ac:dyDescent="0.25"/>
  <cols>
    <col min="3" max="3" width="32.28515625" customWidth="1"/>
    <col min="4" max="4" width="11.85546875" style="19" bestFit="1" customWidth="1"/>
    <col min="5" max="5" width="11.42578125" bestFit="1" customWidth="1"/>
    <col min="6" max="6" width="10" customWidth="1"/>
    <col min="7" max="8" width="10.28515625" bestFit="1" customWidth="1"/>
    <col min="9" max="9" width="8.7109375" bestFit="1" customWidth="1"/>
    <col min="13" max="14" width="10.28515625" bestFit="1" customWidth="1"/>
    <col min="16" max="16" width="10.28515625" bestFit="1" customWidth="1"/>
  </cols>
  <sheetData>
    <row r="1" spans="1:16" x14ac:dyDescent="0.25">
      <c r="A1" s="8"/>
      <c r="B1" s="8"/>
      <c r="C1" s="8"/>
      <c r="D1" s="16"/>
      <c r="E1" s="41" t="s">
        <v>92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x14ac:dyDescent="0.25">
      <c r="A2" s="8"/>
      <c r="B2" s="8"/>
      <c r="C2" s="8"/>
      <c r="D2" s="16"/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  <c r="P2" s="9" t="s">
        <v>26</v>
      </c>
    </row>
    <row r="3" spans="1:16" x14ac:dyDescent="0.25">
      <c r="A3" s="8"/>
      <c r="B3" s="8"/>
      <c r="C3" s="8" t="s">
        <v>28</v>
      </c>
      <c r="D3" s="16"/>
      <c r="E3" s="10"/>
      <c r="F3" s="10"/>
      <c r="G3" s="10"/>
      <c r="H3" s="10"/>
      <c r="I3" s="8"/>
      <c r="J3" s="8"/>
      <c r="K3" s="8"/>
      <c r="L3" s="8"/>
      <c r="M3" s="8"/>
      <c r="N3" s="8"/>
      <c r="O3" s="8"/>
      <c r="P3" s="8"/>
    </row>
    <row r="4" spans="1:16" x14ac:dyDescent="0.25">
      <c r="A4" s="11"/>
      <c r="B4" s="11"/>
      <c r="C4" s="11" t="s">
        <v>29</v>
      </c>
      <c r="D4" s="17">
        <f>SUM(D6:D50)</f>
        <v>1600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5">
      <c r="A5" s="8"/>
      <c r="B5" s="8"/>
      <c r="C5" s="8"/>
      <c r="D5" s="16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 t="s">
        <v>30</v>
      </c>
      <c r="D6" s="16"/>
      <c r="E6" s="10"/>
      <c r="F6" s="8"/>
      <c r="G6" s="8"/>
      <c r="H6" s="10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 t="s">
        <v>31</v>
      </c>
      <c r="D7" s="16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 t="s">
        <v>32</v>
      </c>
      <c r="D8" s="1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 t="s">
        <v>33</v>
      </c>
      <c r="D9" s="16">
        <f>SUM(E9:P9)</f>
        <v>1600</v>
      </c>
      <c r="E9" s="10"/>
      <c r="F9" s="10"/>
      <c r="G9" s="10"/>
      <c r="H9" s="10"/>
      <c r="I9" s="10"/>
      <c r="J9" s="8"/>
      <c r="K9" s="8">
        <f>800+800</f>
        <v>1600</v>
      </c>
      <c r="L9" s="8"/>
      <c r="M9" s="8"/>
      <c r="N9" s="8"/>
      <c r="O9" s="8"/>
      <c r="P9" s="8"/>
    </row>
    <row r="10" spans="1:16" x14ac:dyDescent="0.25">
      <c r="A10" s="8"/>
      <c r="B10" s="8"/>
      <c r="C10" t="s">
        <v>34</v>
      </c>
      <c r="D10" s="16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t="s">
        <v>35</v>
      </c>
      <c r="D11" s="16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 t="s">
        <v>36</v>
      </c>
      <c r="D12" s="1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 t="s">
        <v>37</v>
      </c>
      <c r="D13" s="1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1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 t="s">
        <v>38</v>
      </c>
      <c r="D15" s="16"/>
      <c r="E15" s="10"/>
      <c r="F15" s="10"/>
      <c r="G15" s="10"/>
      <c r="H15" s="8"/>
      <c r="I15" s="8"/>
      <c r="J15" s="8"/>
      <c r="K15" s="10"/>
      <c r="L15" s="8"/>
      <c r="M15" s="8"/>
      <c r="N15" s="10"/>
      <c r="O15" s="8"/>
      <c r="P15" s="10"/>
    </row>
    <row r="16" spans="1:16" x14ac:dyDescent="0.25">
      <c r="A16" s="8"/>
      <c r="B16" s="8"/>
      <c r="C16" s="8" t="s">
        <v>39</v>
      </c>
      <c r="D16" s="16"/>
      <c r="E16" s="10"/>
      <c r="F16" s="10"/>
      <c r="G16" s="8"/>
      <c r="H16" s="10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 t="s">
        <v>40</v>
      </c>
      <c r="D17" s="16"/>
      <c r="E17" s="10"/>
      <c r="F17" s="10"/>
      <c r="G17" s="10"/>
      <c r="H17" s="8"/>
      <c r="I17" s="8"/>
      <c r="J17" s="8"/>
      <c r="K17" s="10"/>
      <c r="L17" s="10"/>
      <c r="M17" s="8"/>
      <c r="N17" s="8"/>
      <c r="O17" s="8"/>
      <c r="P17" s="8"/>
    </row>
    <row r="18" spans="1:16" x14ac:dyDescent="0.25">
      <c r="A18" s="8"/>
      <c r="B18" s="8"/>
      <c r="C18" s="8"/>
      <c r="D18" s="1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 t="s">
        <v>41</v>
      </c>
      <c r="D19" s="16"/>
      <c r="E19" s="10"/>
      <c r="F19" s="10"/>
      <c r="G19" s="10"/>
      <c r="H19" s="10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 t="s">
        <v>42</v>
      </c>
      <c r="D20" s="16"/>
      <c r="E20" s="10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 t="s">
        <v>43</v>
      </c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13" t="s">
        <v>44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14" t="s">
        <v>27</v>
      </c>
      <c r="D23" s="16"/>
      <c r="E23" s="8"/>
      <c r="F23" s="8"/>
      <c r="G23" s="8"/>
      <c r="H23" s="8"/>
      <c r="I23" s="8"/>
      <c r="J23" s="8"/>
      <c r="K23" s="8"/>
      <c r="L23" s="8"/>
      <c r="M23" s="10"/>
      <c r="N23" s="8"/>
      <c r="O23" s="8"/>
      <c r="P23" s="8"/>
    </row>
    <row r="24" spans="1:16" x14ac:dyDescent="0.25">
      <c r="A24" s="8"/>
      <c r="B24" s="8"/>
      <c r="C24" s="14" t="s">
        <v>45</v>
      </c>
      <c r="D24" s="1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14" t="s">
        <v>46</v>
      </c>
      <c r="D25" s="1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 t="s">
        <v>47</v>
      </c>
      <c r="D26" s="1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 t="s">
        <v>48</v>
      </c>
      <c r="D27" s="16"/>
      <c r="E27" s="8"/>
      <c r="F27" s="10"/>
      <c r="G27" s="10"/>
      <c r="H27" s="10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 t="s">
        <v>49</v>
      </c>
      <c r="D28" s="16"/>
      <c r="E28" s="8"/>
      <c r="F28" s="10"/>
      <c r="G28" s="10"/>
      <c r="H28" s="10"/>
      <c r="I28" s="10"/>
      <c r="J28" s="10"/>
      <c r="K28" s="10"/>
      <c r="L28" s="10"/>
      <c r="M28" s="10"/>
      <c r="N28" s="8"/>
      <c r="O28" s="8"/>
      <c r="P28" s="8"/>
    </row>
    <row r="29" spans="1:16" x14ac:dyDescent="0.25">
      <c r="A29" s="8"/>
      <c r="B29" s="8"/>
      <c r="C29" s="8" t="s">
        <v>50</v>
      </c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8"/>
      <c r="O29" s="10"/>
      <c r="P29" s="10"/>
    </row>
    <row r="30" spans="1:16" x14ac:dyDescent="0.25">
      <c r="A30" s="8"/>
      <c r="B30" s="8"/>
      <c r="C30" s="8" t="s">
        <v>51</v>
      </c>
      <c r="D30" s="1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 t="s">
        <v>52</v>
      </c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8"/>
      <c r="B32" s="8"/>
      <c r="C32" s="8" t="s">
        <v>53</v>
      </c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8"/>
      <c r="B33" s="8"/>
      <c r="C33" s="8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8"/>
      <c r="B34" s="8"/>
      <c r="C34" s="8" t="s">
        <v>54</v>
      </c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8"/>
      <c r="B35" s="8"/>
      <c r="C35" s="8" t="s">
        <v>55</v>
      </c>
      <c r="D35" s="16"/>
      <c r="E35" s="10"/>
      <c r="F35" s="10"/>
      <c r="G35" s="10"/>
      <c r="H35" s="10"/>
      <c r="I35" s="10"/>
      <c r="J35" s="8"/>
      <c r="K35" s="8"/>
      <c r="L35" s="8"/>
      <c r="M35" s="8"/>
      <c r="N35" s="8"/>
      <c r="O35" s="8"/>
      <c r="P35" s="8"/>
    </row>
    <row r="36" spans="1:16" x14ac:dyDescent="0.25">
      <c r="A36" s="8"/>
      <c r="B36" s="8"/>
      <c r="C36" s="8" t="s">
        <v>56</v>
      </c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8"/>
      <c r="B37" s="8">
        <v>0.5</v>
      </c>
      <c r="C37" s="8" t="s">
        <v>57</v>
      </c>
      <c r="D37" s="16"/>
      <c r="E37" s="1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8"/>
      <c r="B38" s="8"/>
      <c r="C38" s="8" t="s">
        <v>58</v>
      </c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8"/>
      <c r="B39" s="8"/>
      <c r="C39" s="8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8"/>
      <c r="B40" s="8"/>
      <c r="C40" s="8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8"/>
      <c r="B41" s="8"/>
      <c r="C41" s="8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8"/>
      <c r="B42" s="8"/>
      <c r="C42" s="8" t="s">
        <v>59</v>
      </c>
      <c r="D42" s="1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8"/>
      <c r="B43" s="8"/>
      <c r="C43" s="8" t="s">
        <v>60</v>
      </c>
      <c r="D43" s="1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8"/>
      <c r="B44" s="8"/>
      <c r="C44" s="8" t="s">
        <v>61</v>
      </c>
      <c r="D44" s="1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8"/>
      <c r="B45" s="8"/>
      <c r="C45" s="8" t="s">
        <v>62</v>
      </c>
      <c r="D45" s="1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8"/>
      <c r="B46" s="8"/>
      <c r="C46" s="8" t="s">
        <v>63</v>
      </c>
      <c r="D46" s="1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8"/>
      <c r="B47" s="8"/>
      <c r="C47" s="8" t="s">
        <v>64</v>
      </c>
      <c r="D47" s="1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8"/>
      <c r="B48" s="8"/>
      <c r="C48" s="8" t="s">
        <v>65</v>
      </c>
      <c r="D48" s="1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8"/>
      <c r="B49" s="8"/>
      <c r="C49" s="8" t="s">
        <v>66</v>
      </c>
      <c r="D49" s="1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8"/>
      <c r="B50" s="8"/>
      <c r="C50" s="8" t="s">
        <v>67</v>
      </c>
      <c r="D50" s="1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2" spans="1:16" x14ac:dyDescent="0.25">
      <c r="C52" t="s">
        <v>68</v>
      </c>
      <c r="D52" s="19">
        <v>2600</v>
      </c>
    </row>
    <row r="53" spans="1:16" x14ac:dyDescent="0.25">
      <c r="C53" t="s">
        <v>69</v>
      </c>
      <c r="D53" s="19">
        <v>17500</v>
      </c>
    </row>
  </sheetData>
  <mergeCells count="1">
    <mergeCell ref="E1:P1"/>
  </mergeCells>
  <pageMargins left="0.7" right="0.7" top="0.75" bottom="0.75" header="0.3" footer="0.3"/>
  <pageSetup fitToWidth="0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6YDMQ6CUTPJ4-1427209179-192</_dlc_DocId>
    <_dlc_DocIdUrl xmlns="7dc771f6-da2e-4bd1-a70e-d17768d8552b">
      <Url>https://cloudbaud.sharepoint.com/sites/Accounting/Taxes/_layouts/15/DocIdRedir.aspx?ID=6YDMQ6CUTPJ4-1427209179-192</Url>
      <Description>6YDMQ6CUTPJ4-1427209179-192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794AD3C-1E61-42C6-B07A-9D8F95EDF505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f89fea9-1773-4881-9f23-9bbf5a71ac4e"/>
    <ds:schemaRef ds:uri="999e65c0-e66d-4ac9-8388-c4abc62046b3"/>
  </ds:schemaRefs>
</ds:datastoreItem>
</file>

<file path=customXml/itemProps2.xml><?xml version="1.0" encoding="utf-8"?>
<ds:datastoreItem xmlns:ds="http://schemas.openxmlformats.org/officeDocument/2006/customXml" ds:itemID="{73BC421C-438F-43B3-86E8-62CEA0A08B51}"/>
</file>

<file path=customXml/itemProps3.xml><?xml version="1.0" encoding="utf-8"?>
<ds:datastoreItem xmlns:ds="http://schemas.openxmlformats.org/officeDocument/2006/customXml" ds:itemID="{AB26CE5E-D7FC-406B-8D5C-3D9371BCC72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952255-788D-472A-A6B3-52F697E86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</vt:lpstr>
      <vt:lpstr>CloudBaud</vt:lpstr>
      <vt:lpstr>Robertos</vt:lpstr>
    </vt:vector>
  </TitlesOfParts>
  <Manager>David Ramsey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 Consolidated Tax Items Jishnu &amp; Deepika Nath</dc:title>
  <dc:subject>2018 Tax Filing</dc:subject>
  <dc:creator>Jish Nath</dc:creator>
  <cp:keywords>2015;2016;2017;2018;2019;2020</cp:keywords>
  <dc:description/>
  <cp:lastModifiedBy>Jishnu Nath</cp:lastModifiedBy>
  <cp:revision/>
  <dcterms:created xsi:type="dcterms:W3CDTF">2021-09-14T20:57:35Z</dcterms:created>
  <dcterms:modified xsi:type="dcterms:W3CDTF">2022-04-17T20:49:30Z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dlc_DocIdItemGuid">
    <vt:lpwstr>4b8f0751-194c-4a52-8878-3f82dccf17ca</vt:lpwstr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SharedWithUsers">
    <vt:lpwstr>11;#BACKOFFICE Members</vt:lpwstr>
  </property>
</Properties>
</file>